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Neurônio" sheetId="4" r:id="rId1"/>
    <sheet name="Treinamento" sheetId="7" r:id="rId2"/>
    <sheet name="Treinamento 2" sheetId="9" r:id="rId3"/>
    <sheet name="Validação" sheetId="8" r:id="rId4"/>
    <sheet name="Conclusão" sheetId="1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9" l="1"/>
  <c r="N4" i="7"/>
  <c r="H70" i="9"/>
  <c r="I70" i="9" s="1"/>
  <c r="H69" i="9"/>
  <c r="I69" i="9" s="1"/>
  <c r="H68" i="9"/>
  <c r="I68" i="9" s="1"/>
  <c r="H67" i="9"/>
  <c r="I67" i="9" s="1"/>
  <c r="H66" i="9"/>
  <c r="I66" i="9" s="1"/>
  <c r="H65" i="9"/>
  <c r="I65" i="9" s="1"/>
  <c r="H64" i="9"/>
  <c r="I64" i="9" s="1"/>
  <c r="H63" i="9"/>
  <c r="I63" i="9" s="1"/>
  <c r="H62" i="9"/>
  <c r="I62" i="9" s="1"/>
  <c r="J61" i="9"/>
  <c r="K61" i="9" s="1"/>
  <c r="H61" i="9"/>
  <c r="I61" i="9" s="1"/>
  <c r="AI56" i="9"/>
  <c r="AH56" i="9"/>
  <c r="AG56" i="9"/>
  <c r="AF56" i="9"/>
  <c r="AE56" i="9"/>
  <c r="AD56" i="9"/>
  <c r="AC56" i="9"/>
  <c r="AB56" i="9"/>
  <c r="H60" i="9"/>
  <c r="I60" i="9" s="1"/>
  <c r="H59" i="9"/>
  <c r="I59" i="9" s="1"/>
  <c r="I58" i="9"/>
  <c r="H58" i="9"/>
  <c r="H57" i="9"/>
  <c r="I57" i="9" s="1"/>
  <c r="J56" i="9"/>
  <c r="K56" i="9" s="1"/>
  <c r="H56" i="9"/>
  <c r="I56" i="9" s="1"/>
  <c r="L56" i="9" s="1"/>
  <c r="AI52" i="9"/>
  <c r="AH52" i="9"/>
  <c r="AG52" i="9"/>
  <c r="AF52" i="9"/>
  <c r="AE52" i="9"/>
  <c r="AD52" i="9"/>
  <c r="AC52" i="9"/>
  <c r="AB52" i="9"/>
  <c r="H55" i="9"/>
  <c r="I55" i="9" s="1"/>
  <c r="H54" i="9"/>
  <c r="I54" i="9" s="1"/>
  <c r="I53" i="9"/>
  <c r="H53" i="9"/>
  <c r="J52" i="9"/>
  <c r="K52" i="9" s="1"/>
  <c r="H52" i="9"/>
  <c r="I52" i="9" s="1"/>
  <c r="L52" i="9" s="1"/>
  <c r="H51" i="9"/>
  <c r="I51" i="9" s="1"/>
  <c r="H50" i="9"/>
  <c r="I50" i="9" s="1"/>
  <c r="H49" i="9"/>
  <c r="I49" i="9" s="1"/>
  <c r="H48" i="9"/>
  <c r="I48" i="9" s="1"/>
  <c r="I47" i="9"/>
  <c r="H47" i="9"/>
  <c r="H46" i="9"/>
  <c r="I46" i="9" s="1"/>
  <c r="H45" i="9"/>
  <c r="I45" i="9" s="1"/>
  <c r="H44" i="9"/>
  <c r="I44" i="9" s="1"/>
  <c r="H43" i="9"/>
  <c r="I43" i="9" s="1"/>
  <c r="H42" i="9"/>
  <c r="I42" i="9" s="1"/>
  <c r="H41" i="9"/>
  <c r="I41" i="9" s="1"/>
  <c r="H40" i="9"/>
  <c r="I40" i="9" s="1"/>
  <c r="H39" i="9"/>
  <c r="I39" i="9" s="1"/>
  <c r="H38" i="9"/>
  <c r="I38" i="9" s="1"/>
  <c r="H37" i="9"/>
  <c r="I37" i="9" s="1"/>
  <c r="H36" i="9"/>
  <c r="I36" i="9" s="1"/>
  <c r="H35" i="9"/>
  <c r="I35" i="9" s="1"/>
  <c r="H34" i="9"/>
  <c r="I34" i="9" s="1"/>
  <c r="H33" i="9"/>
  <c r="I33" i="9" s="1"/>
  <c r="H32" i="9"/>
  <c r="I32" i="9" s="1"/>
  <c r="H31" i="9"/>
  <c r="I31" i="9" s="1"/>
  <c r="H30" i="9"/>
  <c r="I30" i="9" s="1"/>
  <c r="I29" i="9"/>
  <c r="H29" i="9"/>
  <c r="H28" i="9"/>
  <c r="I28" i="9" s="1"/>
  <c r="H27" i="9"/>
  <c r="I27" i="9" s="1"/>
  <c r="H26" i="9"/>
  <c r="I26" i="9" s="1"/>
  <c r="H25" i="9"/>
  <c r="I25" i="9" s="1"/>
  <c r="H24" i="9"/>
  <c r="I24" i="9" s="1"/>
  <c r="H23" i="9"/>
  <c r="I23" i="9" s="1"/>
  <c r="H22" i="9"/>
  <c r="I22" i="9" s="1"/>
  <c r="H21" i="9"/>
  <c r="I21" i="9" s="1"/>
  <c r="H20" i="9"/>
  <c r="I20" i="9" s="1"/>
  <c r="H19" i="9"/>
  <c r="I19" i="9" s="1"/>
  <c r="H18" i="9"/>
  <c r="I18" i="9" s="1"/>
  <c r="H17" i="9"/>
  <c r="I17" i="9" s="1"/>
  <c r="H16" i="9"/>
  <c r="I16" i="9" s="1"/>
  <c r="H15" i="9"/>
  <c r="I15" i="9" s="1"/>
  <c r="H14" i="9"/>
  <c r="I14" i="9" s="1"/>
  <c r="H13" i="9"/>
  <c r="I13" i="9" s="1"/>
  <c r="H12" i="9"/>
  <c r="I12" i="9" s="1"/>
  <c r="H11" i="9"/>
  <c r="I11" i="9" s="1"/>
  <c r="H10" i="9"/>
  <c r="I10" i="9" s="1"/>
  <c r="H9" i="9"/>
  <c r="I9" i="9" s="1"/>
  <c r="H8" i="9"/>
  <c r="I8" i="9" s="1"/>
  <c r="H7" i="9"/>
  <c r="I7" i="9" s="1"/>
  <c r="H6" i="9"/>
  <c r="I6" i="9" s="1"/>
  <c r="H5" i="9"/>
  <c r="I5" i="9" s="1"/>
  <c r="H4" i="9"/>
  <c r="I4" i="9" s="1"/>
  <c r="J3" i="9"/>
  <c r="K3" i="9" s="1"/>
  <c r="H3" i="9"/>
  <c r="I3" i="9" s="1"/>
  <c r="J2" i="9"/>
  <c r="K2" i="9" s="1"/>
  <c r="H2" i="9"/>
  <c r="I2" i="9" s="1"/>
  <c r="J50" i="8"/>
  <c r="K50" i="8" s="1"/>
  <c r="H50" i="8"/>
  <c r="I50" i="8" s="1"/>
  <c r="J49" i="8"/>
  <c r="K49" i="8" s="1"/>
  <c r="H49" i="8"/>
  <c r="I49" i="8" s="1"/>
  <c r="J48" i="8"/>
  <c r="K48" i="8" s="1"/>
  <c r="H48" i="8"/>
  <c r="I48" i="8" s="1"/>
  <c r="J47" i="8"/>
  <c r="K47" i="8" s="1"/>
  <c r="H47" i="8"/>
  <c r="I47" i="8" s="1"/>
  <c r="J46" i="8"/>
  <c r="K46" i="8" s="1"/>
  <c r="H46" i="8"/>
  <c r="I46" i="8" s="1"/>
  <c r="J45" i="8"/>
  <c r="K45" i="8" s="1"/>
  <c r="H45" i="8"/>
  <c r="I45" i="8" s="1"/>
  <c r="J44" i="8"/>
  <c r="K44" i="8" s="1"/>
  <c r="H44" i="8"/>
  <c r="I44" i="8" s="1"/>
  <c r="J43" i="8"/>
  <c r="K43" i="8" s="1"/>
  <c r="H43" i="8"/>
  <c r="I43" i="8" s="1"/>
  <c r="J42" i="8"/>
  <c r="K42" i="8" s="1"/>
  <c r="H42" i="8"/>
  <c r="I42" i="8" s="1"/>
  <c r="J41" i="8"/>
  <c r="K41" i="8" s="1"/>
  <c r="H41" i="8"/>
  <c r="I41" i="8" s="1"/>
  <c r="J40" i="8"/>
  <c r="K40" i="8" s="1"/>
  <c r="H40" i="8"/>
  <c r="I40" i="8" s="1"/>
  <c r="J39" i="8"/>
  <c r="K39" i="8" s="1"/>
  <c r="H39" i="8"/>
  <c r="I39" i="8" s="1"/>
  <c r="J38" i="8"/>
  <c r="K38" i="8" s="1"/>
  <c r="H38" i="8"/>
  <c r="I38" i="8" s="1"/>
  <c r="J37" i="8"/>
  <c r="K37" i="8" s="1"/>
  <c r="H37" i="8"/>
  <c r="I37" i="8" s="1"/>
  <c r="J36" i="8"/>
  <c r="K36" i="8" s="1"/>
  <c r="H36" i="8"/>
  <c r="I36" i="8" s="1"/>
  <c r="J35" i="8"/>
  <c r="K35" i="8" s="1"/>
  <c r="H35" i="8"/>
  <c r="I35" i="8" s="1"/>
  <c r="J34" i="8"/>
  <c r="K34" i="8" s="1"/>
  <c r="H34" i="8"/>
  <c r="I34" i="8" s="1"/>
  <c r="J33" i="8"/>
  <c r="K33" i="8" s="1"/>
  <c r="H33" i="8"/>
  <c r="I33" i="8" s="1"/>
  <c r="J32" i="8"/>
  <c r="K32" i="8" s="1"/>
  <c r="H32" i="8"/>
  <c r="I32" i="8" s="1"/>
  <c r="J31" i="8"/>
  <c r="K31" i="8" s="1"/>
  <c r="H31" i="8"/>
  <c r="I31" i="8" s="1"/>
  <c r="J30" i="8"/>
  <c r="K30" i="8" s="1"/>
  <c r="H30" i="8"/>
  <c r="I30" i="8" s="1"/>
  <c r="J29" i="8"/>
  <c r="K29" i="8" s="1"/>
  <c r="H29" i="8"/>
  <c r="I29" i="8" s="1"/>
  <c r="J28" i="8"/>
  <c r="K28" i="8" s="1"/>
  <c r="H28" i="8"/>
  <c r="I28" i="8" s="1"/>
  <c r="J27" i="8"/>
  <c r="K27" i="8" s="1"/>
  <c r="H27" i="8"/>
  <c r="I27" i="8" s="1"/>
  <c r="J26" i="8"/>
  <c r="K26" i="8" s="1"/>
  <c r="H26" i="8"/>
  <c r="I26" i="8" s="1"/>
  <c r="J25" i="8"/>
  <c r="K25" i="8" s="1"/>
  <c r="H25" i="8"/>
  <c r="I25" i="8" s="1"/>
  <c r="J24" i="8"/>
  <c r="K24" i="8" s="1"/>
  <c r="H24" i="8"/>
  <c r="I24" i="8" s="1"/>
  <c r="J23" i="8"/>
  <c r="K23" i="8" s="1"/>
  <c r="H23" i="8"/>
  <c r="I23" i="8" s="1"/>
  <c r="J22" i="8"/>
  <c r="K22" i="8" s="1"/>
  <c r="H22" i="8"/>
  <c r="I22" i="8" s="1"/>
  <c r="J21" i="8"/>
  <c r="K21" i="8" s="1"/>
  <c r="H21" i="8"/>
  <c r="I21" i="8" s="1"/>
  <c r="J20" i="8"/>
  <c r="K20" i="8" s="1"/>
  <c r="H20" i="8"/>
  <c r="I20" i="8" s="1"/>
  <c r="J19" i="8"/>
  <c r="K19" i="8" s="1"/>
  <c r="H19" i="8"/>
  <c r="I19" i="8" s="1"/>
  <c r="J18" i="8"/>
  <c r="K18" i="8" s="1"/>
  <c r="H18" i="8"/>
  <c r="I18" i="8" s="1"/>
  <c r="J17" i="8"/>
  <c r="K17" i="8" s="1"/>
  <c r="H17" i="8"/>
  <c r="I17" i="8" s="1"/>
  <c r="J16" i="8"/>
  <c r="K16" i="8" s="1"/>
  <c r="H16" i="8"/>
  <c r="I16" i="8" s="1"/>
  <c r="J15" i="8"/>
  <c r="K15" i="8" s="1"/>
  <c r="H15" i="8"/>
  <c r="I15" i="8" s="1"/>
  <c r="J14" i="8"/>
  <c r="K14" i="8" s="1"/>
  <c r="H14" i="8"/>
  <c r="I14" i="8" s="1"/>
  <c r="J13" i="8"/>
  <c r="K13" i="8" s="1"/>
  <c r="H13" i="8"/>
  <c r="I13" i="8" s="1"/>
  <c r="J12" i="8"/>
  <c r="K12" i="8" s="1"/>
  <c r="H12" i="8"/>
  <c r="I12" i="8" s="1"/>
  <c r="J11" i="8"/>
  <c r="K11" i="8" s="1"/>
  <c r="H11" i="8"/>
  <c r="I11" i="8" s="1"/>
  <c r="J10" i="8"/>
  <c r="K10" i="8" s="1"/>
  <c r="H10" i="8"/>
  <c r="I10" i="8" s="1"/>
  <c r="J9" i="8"/>
  <c r="K9" i="8" s="1"/>
  <c r="H9" i="8"/>
  <c r="I9" i="8" s="1"/>
  <c r="J8" i="8"/>
  <c r="K8" i="8" s="1"/>
  <c r="H8" i="8"/>
  <c r="I8" i="8" s="1"/>
  <c r="J7" i="8"/>
  <c r="K7" i="8" s="1"/>
  <c r="H7" i="8"/>
  <c r="I7" i="8" s="1"/>
  <c r="J6" i="8"/>
  <c r="K6" i="8" s="1"/>
  <c r="H6" i="8"/>
  <c r="I6" i="8" s="1"/>
  <c r="J5" i="8"/>
  <c r="K5" i="8" s="1"/>
  <c r="H5" i="8"/>
  <c r="I5" i="8" s="1"/>
  <c r="J4" i="8"/>
  <c r="K4" i="8" s="1"/>
  <c r="H4" i="8"/>
  <c r="I4" i="8" s="1"/>
  <c r="J3" i="8"/>
  <c r="K3" i="8" s="1"/>
  <c r="H3" i="8"/>
  <c r="I3" i="8" s="1"/>
  <c r="H2" i="8"/>
  <c r="I2" i="8"/>
  <c r="H100" i="7"/>
  <c r="I100" i="7" s="1"/>
  <c r="H99" i="7"/>
  <c r="I99" i="7" s="1"/>
  <c r="H98" i="7"/>
  <c r="I98" i="7" s="1"/>
  <c r="H97" i="7"/>
  <c r="I97" i="7" s="1"/>
  <c r="H96" i="7"/>
  <c r="I96" i="7" s="1"/>
  <c r="H95" i="7"/>
  <c r="I95" i="7" s="1"/>
  <c r="H94" i="7"/>
  <c r="I94" i="7" s="1"/>
  <c r="H93" i="7"/>
  <c r="I93" i="7" s="1"/>
  <c r="H92" i="7"/>
  <c r="I92" i="7" s="1"/>
  <c r="H91" i="7"/>
  <c r="I91" i="7" s="1"/>
  <c r="H90" i="7"/>
  <c r="I90" i="7" s="1"/>
  <c r="H89" i="7"/>
  <c r="I89" i="7" s="1"/>
  <c r="H88" i="7"/>
  <c r="I88" i="7" s="1"/>
  <c r="H87" i="7"/>
  <c r="I87" i="7" s="1"/>
  <c r="H86" i="7"/>
  <c r="I86" i="7" s="1"/>
  <c r="H85" i="7"/>
  <c r="I85" i="7" s="1"/>
  <c r="H84" i="7"/>
  <c r="I84" i="7" s="1"/>
  <c r="H83" i="7"/>
  <c r="I83" i="7" s="1"/>
  <c r="H82" i="7"/>
  <c r="I82" i="7" s="1"/>
  <c r="H81" i="7"/>
  <c r="I81" i="7" s="1"/>
  <c r="H80" i="7"/>
  <c r="H79" i="7"/>
  <c r="H78" i="7"/>
  <c r="I78" i="7" s="1"/>
  <c r="H77" i="7"/>
  <c r="I77" i="7" s="1"/>
  <c r="H76" i="7"/>
  <c r="I76" i="7" s="1"/>
  <c r="H75" i="7"/>
  <c r="I75" i="7" s="1"/>
  <c r="H74" i="7"/>
  <c r="I74" i="7" s="1"/>
  <c r="H73" i="7"/>
  <c r="I73" i="7" s="1"/>
  <c r="H72" i="7"/>
  <c r="I72" i="7" s="1"/>
  <c r="H71" i="7"/>
  <c r="I71" i="7" s="1"/>
  <c r="H70" i="7"/>
  <c r="I70" i="7" s="1"/>
  <c r="H69" i="7"/>
  <c r="I69" i="7" s="1"/>
  <c r="H68" i="7"/>
  <c r="I68" i="7" s="1"/>
  <c r="I80" i="7"/>
  <c r="I79" i="7"/>
  <c r="J68" i="7"/>
  <c r="K68" i="7" s="1"/>
  <c r="AI67" i="7"/>
  <c r="AH67" i="7"/>
  <c r="AG67" i="7"/>
  <c r="AF67" i="7"/>
  <c r="AE67" i="7"/>
  <c r="AD67" i="7"/>
  <c r="AC67" i="7"/>
  <c r="AB67" i="7"/>
  <c r="L67" i="7"/>
  <c r="K67" i="7"/>
  <c r="J67" i="7"/>
  <c r="H67" i="7"/>
  <c r="I67" i="7" s="1"/>
  <c r="H66" i="7"/>
  <c r="I66" i="7" s="1"/>
  <c r="H65" i="7"/>
  <c r="I65" i="7" s="1"/>
  <c r="H64" i="7"/>
  <c r="I64" i="7" s="1"/>
  <c r="H63" i="7"/>
  <c r="I63" i="7" s="1"/>
  <c r="H62" i="7"/>
  <c r="I62" i="7" s="1"/>
  <c r="AI61" i="7"/>
  <c r="AH61" i="7"/>
  <c r="AG61" i="7"/>
  <c r="AF61" i="7"/>
  <c r="AE61" i="7"/>
  <c r="AD61" i="7"/>
  <c r="AC61" i="7"/>
  <c r="AB61" i="7"/>
  <c r="J62" i="7"/>
  <c r="K62" i="7" s="1"/>
  <c r="L61" i="7"/>
  <c r="H61" i="7"/>
  <c r="I61" i="7" s="1"/>
  <c r="H60" i="7"/>
  <c r="I60" i="7" s="1"/>
  <c r="H59" i="7"/>
  <c r="I59" i="7" s="1"/>
  <c r="H58" i="7"/>
  <c r="I58" i="7" s="1"/>
  <c r="H57" i="7"/>
  <c r="I57" i="7" s="1"/>
  <c r="H56" i="7"/>
  <c r="I56" i="7" s="1"/>
  <c r="H55" i="7"/>
  <c r="I55" i="7" s="1"/>
  <c r="H54" i="7"/>
  <c r="I54" i="7" s="1"/>
  <c r="H53" i="7"/>
  <c r="I53" i="7" s="1"/>
  <c r="H52" i="7"/>
  <c r="I52" i="7" s="1"/>
  <c r="H51" i="7"/>
  <c r="I51" i="7" s="1"/>
  <c r="H50" i="7"/>
  <c r="I50" i="7"/>
  <c r="H49" i="7"/>
  <c r="I49" i="7" s="1"/>
  <c r="H48" i="7"/>
  <c r="I48" i="7" s="1"/>
  <c r="H47" i="7"/>
  <c r="I47" i="7" s="1"/>
  <c r="H46" i="7"/>
  <c r="I46" i="7" s="1"/>
  <c r="H45" i="7"/>
  <c r="I45" i="7" s="1"/>
  <c r="H44" i="7"/>
  <c r="I44" i="7" s="1"/>
  <c r="H43" i="7"/>
  <c r="I43" i="7" s="1"/>
  <c r="H42" i="7"/>
  <c r="I42" i="7" s="1"/>
  <c r="L41" i="7"/>
  <c r="AG41" i="7" s="1"/>
  <c r="AI41" i="7"/>
  <c r="AH41" i="7"/>
  <c r="AF41" i="7"/>
  <c r="AE41" i="7"/>
  <c r="AD41" i="7"/>
  <c r="AB41" i="7"/>
  <c r="K41" i="7"/>
  <c r="J41" i="7"/>
  <c r="H41" i="7"/>
  <c r="I41" i="7" s="1"/>
  <c r="H40" i="7"/>
  <c r="I40" i="7" s="1"/>
  <c r="H39" i="7"/>
  <c r="I39" i="7" s="1"/>
  <c r="H38" i="7"/>
  <c r="I38" i="7" s="1"/>
  <c r="H37" i="7"/>
  <c r="I37" i="7" s="1"/>
  <c r="H36" i="7"/>
  <c r="I36" i="7" s="1"/>
  <c r="H35" i="7"/>
  <c r="I35" i="7" s="1"/>
  <c r="H34" i="7"/>
  <c r="I34" i="7" s="1"/>
  <c r="H33" i="7"/>
  <c r="I33" i="7" s="1"/>
  <c r="H32" i="7"/>
  <c r="I32" i="7" s="1"/>
  <c r="H31" i="7"/>
  <c r="I31" i="7" s="1"/>
  <c r="H30" i="7"/>
  <c r="I30" i="7" s="1"/>
  <c r="H29" i="7"/>
  <c r="I29" i="7" s="1"/>
  <c r="H28" i="7"/>
  <c r="I28" i="7" s="1"/>
  <c r="H27" i="7"/>
  <c r="I27" i="7" s="1"/>
  <c r="H26" i="7"/>
  <c r="I26" i="7"/>
  <c r="H25" i="7"/>
  <c r="I25" i="7" s="1"/>
  <c r="H24" i="7"/>
  <c r="I24" i="7" s="1"/>
  <c r="H23" i="7"/>
  <c r="I23" i="7" s="1"/>
  <c r="H22" i="7"/>
  <c r="I22" i="7" s="1"/>
  <c r="K3" i="7"/>
  <c r="J3" i="7"/>
  <c r="H21" i="7"/>
  <c r="I21" i="7" s="1"/>
  <c r="H20" i="7"/>
  <c r="I20" i="7" s="1"/>
  <c r="H19" i="7"/>
  <c r="I19" i="7" s="1"/>
  <c r="H18" i="7"/>
  <c r="I18" i="7" s="1"/>
  <c r="H17" i="7"/>
  <c r="I17" i="7" s="1"/>
  <c r="H16" i="7"/>
  <c r="I16" i="7" s="1"/>
  <c r="H15" i="7"/>
  <c r="I15" i="7" s="1"/>
  <c r="H14" i="7"/>
  <c r="I14" i="7" s="1"/>
  <c r="H13" i="7"/>
  <c r="I13" i="7" s="1"/>
  <c r="H12" i="7"/>
  <c r="I12" i="7" s="1"/>
  <c r="H11" i="7"/>
  <c r="I11" i="7" s="1"/>
  <c r="H10" i="7"/>
  <c r="I10" i="7" s="1"/>
  <c r="H9" i="7"/>
  <c r="I9" i="7" s="1"/>
  <c r="H8" i="7"/>
  <c r="I8" i="7" s="1"/>
  <c r="H7" i="7"/>
  <c r="I7" i="7" s="1"/>
  <c r="H6" i="7"/>
  <c r="I6" i="7" s="1"/>
  <c r="H5" i="7"/>
  <c r="I5" i="7" s="1"/>
  <c r="H4" i="7"/>
  <c r="I4" i="7" s="1"/>
  <c r="H3" i="7"/>
  <c r="I3" i="7" s="1"/>
  <c r="K2" i="7"/>
  <c r="I2" i="7"/>
  <c r="H2" i="7"/>
  <c r="J2" i="7"/>
  <c r="M14" i="4"/>
  <c r="N14" i="4" s="1"/>
  <c r="L61" i="9" l="1"/>
  <c r="AB53" i="9"/>
  <c r="AF53" i="9"/>
  <c r="AE53" i="9"/>
  <c r="AI53" i="9"/>
  <c r="J53" i="9"/>
  <c r="K53" i="9" s="1"/>
  <c r="L53" i="9"/>
  <c r="AG53" i="9" s="1"/>
  <c r="L3" i="9"/>
  <c r="AF3" i="9" s="1"/>
  <c r="AE3" i="9"/>
  <c r="AH3" i="9"/>
  <c r="AD3" i="9"/>
  <c r="AG3" i="9"/>
  <c r="L2" i="9"/>
  <c r="L4" i="8"/>
  <c r="L6" i="8"/>
  <c r="L8" i="8"/>
  <c r="L12" i="8"/>
  <c r="L14" i="8"/>
  <c r="L16" i="8"/>
  <c r="L18" i="8"/>
  <c r="L20" i="8"/>
  <c r="L22" i="8"/>
  <c r="L24" i="8"/>
  <c r="L26" i="8"/>
  <c r="L28" i="8"/>
  <c r="L30" i="8"/>
  <c r="L32" i="8"/>
  <c r="L34" i="8"/>
  <c r="L36" i="8"/>
  <c r="L38" i="8"/>
  <c r="L40" i="8"/>
  <c r="L44" i="8"/>
  <c r="L46" i="8"/>
  <c r="L48" i="8"/>
  <c r="L3" i="8"/>
  <c r="L5" i="8"/>
  <c r="L7" i="8"/>
  <c r="L9" i="8"/>
  <c r="L11" i="8"/>
  <c r="L13" i="8"/>
  <c r="L15" i="8"/>
  <c r="L17" i="8"/>
  <c r="L19" i="8"/>
  <c r="L21" i="8"/>
  <c r="L23" i="8"/>
  <c r="L25" i="8"/>
  <c r="L29" i="8"/>
  <c r="L31" i="8"/>
  <c r="L33" i="8"/>
  <c r="L35" i="8"/>
  <c r="L37" i="8"/>
  <c r="L39" i="8"/>
  <c r="L41" i="8"/>
  <c r="L43" i="8"/>
  <c r="L45" i="8"/>
  <c r="L47" i="8"/>
  <c r="L49" i="8"/>
  <c r="L50" i="8"/>
  <c r="L42" i="8"/>
  <c r="L27" i="8"/>
  <c r="L10" i="8"/>
  <c r="L68" i="7"/>
  <c r="AB68" i="7"/>
  <c r="AF68" i="7"/>
  <c r="AC68" i="7"/>
  <c r="AG68" i="7"/>
  <c r="AD68" i="7"/>
  <c r="AH68" i="7"/>
  <c r="AE68" i="7"/>
  <c r="AI68" i="7"/>
  <c r="L62" i="7"/>
  <c r="AF62" i="7" s="1"/>
  <c r="AC41" i="7"/>
  <c r="J42" i="7"/>
  <c r="K42" i="7" s="1"/>
  <c r="L42" i="7" s="1"/>
  <c r="AG42" i="7" s="1"/>
  <c r="L3" i="7"/>
  <c r="L2" i="7"/>
  <c r="AI61" i="9" l="1"/>
  <c r="AE61" i="9"/>
  <c r="AH61" i="9"/>
  <c r="AD61" i="9"/>
  <c r="AB61" i="9"/>
  <c r="AG61" i="9"/>
  <c r="AC61" i="9"/>
  <c r="AF61" i="9"/>
  <c r="J57" i="9"/>
  <c r="K57" i="9" s="1"/>
  <c r="L57" i="9" s="1"/>
  <c r="AH53" i="9"/>
  <c r="AD53" i="9"/>
  <c r="AC53" i="9"/>
  <c r="AI3" i="9"/>
  <c r="AC3" i="9"/>
  <c r="AB3" i="9"/>
  <c r="J4" i="9" s="1"/>
  <c r="K4" i="9" s="1"/>
  <c r="L4" i="9" s="1"/>
  <c r="AG4" i="9" s="1"/>
  <c r="AI2" i="9"/>
  <c r="AE2" i="9"/>
  <c r="AB2" i="9"/>
  <c r="AH2" i="9"/>
  <c r="AD2" i="9"/>
  <c r="AG2" i="9"/>
  <c r="AC2" i="9"/>
  <c r="AF2" i="9"/>
  <c r="J69" i="7"/>
  <c r="K69" i="7" s="1"/>
  <c r="L69" i="7" s="1"/>
  <c r="AC69" i="7" s="1"/>
  <c r="AI62" i="7"/>
  <c r="AD62" i="7"/>
  <c r="AE62" i="7"/>
  <c r="AG62" i="7"/>
  <c r="AB62" i="7"/>
  <c r="AC62" i="7"/>
  <c r="AH62" i="7"/>
  <c r="AH42" i="7"/>
  <c r="AB42" i="7"/>
  <c r="AF42" i="7"/>
  <c r="AD42" i="7"/>
  <c r="AE42" i="7"/>
  <c r="AI42" i="7"/>
  <c r="AC42" i="7"/>
  <c r="AH3" i="7"/>
  <c r="AD3" i="7"/>
  <c r="AG3" i="7"/>
  <c r="AC3" i="7"/>
  <c r="AF3" i="7"/>
  <c r="AB3" i="7"/>
  <c r="AI3" i="7"/>
  <c r="AE3" i="7"/>
  <c r="AI2" i="7"/>
  <c r="AE2" i="7"/>
  <c r="AH2" i="7"/>
  <c r="AD2" i="7"/>
  <c r="AB2" i="7"/>
  <c r="AG2" i="7"/>
  <c r="AC2" i="7"/>
  <c r="AF2" i="7"/>
  <c r="J62" i="9" l="1"/>
  <c r="K62" i="9" s="1"/>
  <c r="L62" i="9" s="1"/>
  <c r="AF57" i="9"/>
  <c r="AB57" i="9"/>
  <c r="AG57" i="9"/>
  <c r="AC57" i="9"/>
  <c r="AD57" i="9"/>
  <c r="AE57" i="9"/>
  <c r="AH57" i="9"/>
  <c r="AI57" i="9"/>
  <c r="J54" i="9"/>
  <c r="K54" i="9" s="1"/>
  <c r="L54" i="9" s="1"/>
  <c r="AD54" i="9"/>
  <c r="AC4" i="9"/>
  <c r="AE4" i="9"/>
  <c r="AB4" i="9"/>
  <c r="AD4" i="9"/>
  <c r="AI4" i="9"/>
  <c r="AF4" i="9"/>
  <c r="AH4" i="9"/>
  <c r="AD69" i="7"/>
  <c r="AH69" i="7"/>
  <c r="AF69" i="7"/>
  <c r="AE69" i="7"/>
  <c r="AI69" i="7"/>
  <c r="AG69" i="7"/>
  <c r="AB69" i="7"/>
  <c r="J63" i="7"/>
  <c r="K63" i="7" s="1"/>
  <c r="L63" i="7" s="1"/>
  <c r="J43" i="7"/>
  <c r="K43" i="7" s="1"/>
  <c r="L43" i="7" s="1"/>
  <c r="AG43" i="7" s="1"/>
  <c r="J4" i="7"/>
  <c r="K4" i="7" s="1"/>
  <c r="AF62" i="9" l="1"/>
  <c r="AG62" i="9"/>
  <c r="AB62" i="9"/>
  <c r="AC62" i="9"/>
  <c r="AI62" i="9"/>
  <c r="AH62" i="9"/>
  <c r="AE62" i="9"/>
  <c r="AD62" i="9"/>
  <c r="J58" i="9"/>
  <c r="K58" i="9" s="1"/>
  <c r="L58" i="9" s="1"/>
  <c r="AI58" i="9" s="1"/>
  <c r="AG54" i="9"/>
  <c r="AI54" i="9"/>
  <c r="AF54" i="9"/>
  <c r="AE54" i="9"/>
  <c r="AB54" i="9"/>
  <c r="AC54" i="9"/>
  <c r="AH54" i="9"/>
  <c r="J5" i="9"/>
  <c r="K5" i="9" s="1"/>
  <c r="L5" i="9" s="1"/>
  <c r="AG5" i="9" s="1"/>
  <c r="J70" i="7"/>
  <c r="K70" i="7" s="1"/>
  <c r="L70" i="7" s="1"/>
  <c r="AC70" i="7" s="1"/>
  <c r="AF63" i="7"/>
  <c r="AI63" i="7"/>
  <c r="AD63" i="7"/>
  <c r="AG63" i="7"/>
  <c r="AE63" i="7"/>
  <c r="AC63" i="7"/>
  <c r="AB63" i="7"/>
  <c r="AH63" i="7"/>
  <c r="AB43" i="7"/>
  <c r="AE43" i="7"/>
  <c r="AI43" i="7"/>
  <c r="AD43" i="7"/>
  <c r="AH43" i="7"/>
  <c r="AC43" i="7"/>
  <c r="AF43" i="7"/>
  <c r="L4" i="7"/>
  <c r="J63" i="9" l="1"/>
  <c r="K63" i="9" s="1"/>
  <c r="L63" i="9" s="1"/>
  <c r="AG58" i="9"/>
  <c r="AH58" i="9"/>
  <c r="AD58" i="9"/>
  <c r="AB58" i="9"/>
  <c r="AE58" i="9"/>
  <c r="AF58" i="9"/>
  <c r="AC58" i="9"/>
  <c r="AH55" i="9"/>
  <c r="J55" i="9"/>
  <c r="K55" i="9" s="1"/>
  <c r="L55" i="9" s="1"/>
  <c r="AD55" i="9" s="1"/>
  <c r="AB55" i="9"/>
  <c r="AG55" i="9"/>
  <c r="AD5" i="9"/>
  <c r="AI5" i="9"/>
  <c r="AF5" i="9"/>
  <c r="AE5" i="9"/>
  <c r="AH5" i="9"/>
  <c r="AC5" i="9"/>
  <c r="AB5" i="9"/>
  <c r="AE70" i="7"/>
  <c r="AB70" i="7"/>
  <c r="AD70" i="7"/>
  <c r="AI70" i="7"/>
  <c r="AG70" i="7"/>
  <c r="AF70" i="7"/>
  <c r="AH70" i="7"/>
  <c r="J64" i="7"/>
  <c r="K64" i="7" s="1"/>
  <c r="L64" i="7" s="1"/>
  <c r="AB64" i="7" s="1"/>
  <c r="J44" i="7"/>
  <c r="K44" i="7" s="1"/>
  <c r="L44" i="7" s="1"/>
  <c r="AG44" i="7" s="1"/>
  <c r="AG4" i="7"/>
  <c r="AE4" i="7"/>
  <c r="AD4" i="7"/>
  <c r="AF4" i="7"/>
  <c r="AI4" i="7"/>
  <c r="AC4" i="7"/>
  <c r="AB4" i="7"/>
  <c r="AH4" i="7"/>
  <c r="AF63" i="9" l="1"/>
  <c r="AI63" i="9"/>
  <c r="AB63" i="9"/>
  <c r="AE63" i="9"/>
  <c r="AG63" i="9"/>
  <c r="AH63" i="9"/>
  <c r="AC63" i="9"/>
  <c r="AD63" i="9"/>
  <c r="J59" i="9"/>
  <c r="K59" i="9" s="1"/>
  <c r="L59" i="9" s="1"/>
  <c r="AI59" i="9" s="1"/>
  <c r="AF55" i="9"/>
  <c r="AI55" i="9"/>
  <c r="AC55" i="9"/>
  <c r="AE55" i="9"/>
  <c r="J6" i="9"/>
  <c r="K6" i="9" s="1"/>
  <c r="L6" i="9" s="1"/>
  <c r="AG6" i="9" s="1"/>
  <c r="J71" i="7"/>
  <c r="K71" i="7" s="1"/>
  <c r="L71" i="7" s="1"/>
  <c r="AC71" i="7" s="1"/>
  <c r="AF64" i="7"/>
  <c r="AC64" i="7"/>
  <c r="AE64" i="7"/>
  <c r="AG64" i="7"/>
  <c r="AH64" i="7"/>
  <c r="AD64" i="7"/>
  <c r="AI64" i="7"/>
  <c r="AC44" i="7"/>
  <c r="AH44" i="7"/>
  <c r="AF44" i="7"/>
  <c r="AI44" i="7"/>
  <c r="AD44" i="7"/>
  <c r="AB44" i="7"/>
  <c r="AE44" i="7"/>
  <c r="J5" i="7"/>
  <c r="K5" i="7" s="1"/>
  <c r="L5" i="7" s="1"/>
  <c r="J64" i="9" l="1"/>
  <c r="K64" i="9" s="1"/>
  <c r="L64" i="9" s="1"/>
  <c r="AB59" i="9"/>
  <c r="AD59" i="9"/>
  <c r="AG59" i="9"/>
  <c r="AE59" i="9"/>
  <c r="AH59" i="9"/>
  <c r="AF59" i="9"/>
  <c r="AC59" i="9"/>
  <c r="AI6" i="9"/>
  <c r="AE6" i="9"/>
  <c r="AH6" i="9"/>
  <c r="AD6" i="9"/>
  <c r="AF6" i="9"/>
  <c r="AB6" i="9"/>
  <c r="AC6" i="9"/>
  <c r="AD71" i="7"/>
  <c r="AI71" i="7"/>
  <c r="AH71" i="7"/>
  <c r="AG71" i="7"/>
  <c r="AB71" i="7"/>
  <c r="AE71" i="7"/>
  <c r="AF71" i="7"/>
  <c r="J65" i="7"/>
  <c r="K65" i="7" s="1"/>
  <c r="L65" i="7" s="1"/>
  <c r="AD65" i="7" s="1"/>
  <c r="J45" i="7"/>
  <c r="K45" i="7" s="1"/>
  <c r="L45" i="7" s="1"/>
  <c r="AG45" i="7" s="1"/>
  <c r="AG5" i="7"/>
  <c r="AF5" i="7"/>
  <c r="AH5" i="7"/>
  <c r="AI5" i="7"/>
  <c r="AC5" i="7"/>
  <c r="AB5" i="7"/>
  <c r="AE5" i="7"/>
  <c r="AD5" i="7"/>
  <c r="AF64" i="9" l="1"/>
  <c r="AI64" i="9"/>
  <c r="AG64" i="9"/>
  <c r="AC64" i="9"/>
  <c r="AH64" i="9"/>
  <c r="AE64" i="9"/>
  <c r="AB64" i="9"/>
  <c r="AD64" i="9"/>
  <c r="AC60" i="9"/>
  <c r="J60" i="9"/>
  <c r="K60" i="9" s="1"/>
  <c r="L60" i="9" s="1"/>
  <c r="AI60" i="9" s="1"/>
  <c r="AB60" i="9"/>
  <c r="J7" i="9"/>
  <c r="K7" i="9" s="1"/>
  <c r="L7" i="9" s="1"/>
  <c r="AG7" i="9" s="1"/>
  <c r="J72" i="7"/>
  <c r="K72" i="7" s="1"/>
  <c r="L72" i="7" s="1"/>
  <c r="AC72" i="7" s="1"/>
  <c r="AC65" i="7"/>
  <c r="AB65" i="7"/>
  <c r="AF65" i="7"/>
  <c r="AE65" i="7"/>
  <c r="AI65" i="7"/>
  <c r="AH65" i="7"/>
  <c r="AG65" i="7"/>
  <c r="AI45" i="7"/>
  <c r="AH45" i="7"/>
  <c r="AD45" i="7"/>
  <c r="AB45" i="7"/>
  <c r="AC45" i="7"/>
  <c r="AE45" i="7"/>
  <c r="AF45" i="7"/>
  <c r="J6" i="7"/>
  <c r="K6" i="7" s="1"/>
  <c r="L6" i="7" s="1"/>
  <c r="J65" i="9" l="1"/>
  <c r="K65" i="9" s="1"/>
  <c r="L65" i="9" s="1"/>
  <c r="AF60" i="9"/>
  <c r="AH60" i="9"/>
  <c r="AD60" i="9"/>
  <c r="AG60" i="9"/>
  <c r="AE60" i="9"/>
  <c r="AD7" i="9"/>
  <c r="AI7" i="9"/>
  <c r="AH7" i="9"/>
  <c r="AF7" i="9"/>
  <c r="AB7" i="9"/>
  <c r="AE7" i="9"/>
  <c r="AC7" i="9"/>
  <c r="AG72" i="7"/>
  <c r="AD72" i="7"/>
  <c r="AI72" i="7"/>
  <c r="AB72" i="7"/>
  <c r="AE72" i="7"/>
  <c r="AH72" i="7"/>
  <c r="AF72" i="7"/>
  <c r="J66" i="7"/>
  <c r="K66" i="7" s="1"/>
  <c r="L66" i="7" s="1"/>
  <c r="AD66" i="7" s="1"/>
  <c r="J46" i="7"/>
  <c r="K46" i="7" s="1"/>
  <c r="L46" i="7" s="1"/>
  <c r="AG46" i="7" s="1"/>
  <c r="AG6" i="7"/>
  <c r="AI6" i="7"/>
  <c r="AH6" i="7"/>
  <c r="AD6" i="7"/>
  <c r="AF6" i="7"/>
  <c r="AC6" i="7"/>
  <c r="AE6" i="7"/>
  <c r="AB6" i="7"/>
  <c r="J7" i="7" s="1"/>
  <c r="K7" i="7" s="1"/>
  <c r="AF65" i="9" l="1"/>
  <c r="AH65" i="9"/>
  <c r="AG65" i="9"/>
  <c r="AE65" i="9"/>
  <c r="AI65" i="9"/>
  <c r="AC65" i="9"/>
  <c r="AB65" i="9"/>
  <c r="AD65" i="9"/>
  <c r="J8" i="9"/>
  <c r="K8" i="9" s="1"/>
  <c r="L8" i="9" s="1"/>
  <c r="AG8" i="9" s="1"/>
  <c r="J73" i="7"/>
  <c r="K73" i="7" s="1"/>
  <c r="L73" i="7" s="1"/>
  <c r="AC73" i="7" s="1"/>
  <c r="AB66" i="7"/>
  <c r="AF66" i="7"/>
  <c r="AH66" i="7"/>
  <c r="AE66" i="7"/>
  <c r="AI66" i="7"/>
  <c r="AC66" i="7"/>
  <c r="AG66" i="7"/>
  <c r="AE46" i="7"/>
  <c r="AI46" i="7"/>
  <c r="AC46" i="7"/>
  <c r="AH46" i="7"/>
  <c r="AD46" i="7"/>
  <c r="AF46" i="7"/>
  <c r="AB46" i="7"/>
  <c r="L7" i="7"/>
  <c r="J66" i="9" l="1"/>
  <c r="K66" i="9" s="1"/>
  <c r="L66" i="9" s="1"/>
  <c r="AE66" i="9" s="1"/>
  <c r="AF8" i="9"/>
  <c r="AD8" i="9"/>
  <c r="AI8" i="9"/>
  <c r="AB8" i="9"/>
  <c r="AE8" i="9"/>
  <c r="AH8" i="9"/>
  <c r="AC8" i="9"/>
  <c r="AG73" i="7"/>
  <c r="AD73" i="7"/>
  <c r="AE73" i="7"/>
  <c r="AI73" i="7"/>
  <c r="AH73" i="7"/>
  <c r="AB73" i="7"/>
  <c r="AF73" i="7"/>
  <c r="J47" i="7"/>
  <c r="K47" i="7" s="1"/>
  <c r="L47" i="7" s="1"/>
  <c r="AG47" i="7" s="1"/>
  <c r="AG7" i="7"/>
  <c r="AB7" i="7"/>
  <c r="AH7" i="7"/>
  <c r="AD7" i="7"/>
  <c r="AC7" i="7"/>
  <c r="AE7" i="7"/>
  <c r="AI7" i="7"/>
  <c r="AF7" i="7"/>
  <c r="AH66" i="9" l="1"/>
  <c r="AC66" i="9"/>
  <c r="AF66" i="9"/>
  <c r="AB66" i="9"/>
  <c r="AG66" i="9"/>
  <c r="AI66" i="9"/>
  <c r="AD66" i="9"/>
  <c r="J9" i="9"/>
  <c r="K9" i="9" s="1"/>
  <c r="L9" i="9" s="1"/>
  <c r="AG9" i="9" s="1"/>
  <c r="J74" i="7"/>
  <c r="K74" i="7" s="1"/>
  <c r="L74" i="7" s="1"/>
  <c r="AC74" i="7" s="1"/>
  <c r="AE47" i="7"/>
  <c r="AI47" i="7"/>
  <c r="AD47" i="7"/>
  <c r="AC47" i="7"/>
  <c r="AF47" i="7"/>
  <c r="AB47" i="7"/>
  <c r="AH47" i="7"/>
  <c r="J8" i="7"/>
  <c r="K8" i="7" s="1"/>
  <c r="L8" i="7"/>
  <c r="J67" i="9" l="1"/>
  <c r="K67" i="9" s="1"/>
  <c r="L67" i="9" s="1"/>
  <c r="AF67" i="9" s="1"/>
  <c r="AF9" i="9"/>
  <c r="AI9" i="9"/>
  <c r="AE9" i="9"/>
  <c r="AH9" i="9"/>
  <c r="AC9" i="9"/>
  <c r="AD9" i="9"/>
  <c r="AB9" i="9"/>
  <c r="AF74" i="7"/>
  <c r="AH74" i="7"/>
  <c r="AD74" i="7"/>
  <c r="AE74" i="7"/>
  <c r="AG74" i="7"/>
  <c r="AB74" i="7"/>
  <c r="AI74" i="7"/>
  <c r="J48" i="7"/>
  <c r="K48" i="7" s="1"/>
  <c r="L48" i="7" s="1"/>
  <c r="AG48" i="7" s="1"/>
  <c r="AG8" i="7"/>
  <c r="AF8" i="7"/>
  <c r="AB8" i="7"/>
  <c r="AD8" i="7"/>
  <c r="AE8" i="7"/>
  <c r="AI8" i="7"/>
  <c r="AC8" i="7"/>
  <c r="AH8" i="7"/>
  <c r="AB67" i="9" l="1"/>
  <c r="AE67" i="9"/>
  <c r="AI67" i="9"/>
  <c r="AC67" i="9"/>
  <c r="AD67" i="9"/>
  <c r="AG67" i="9"/>
  <c r="AH67" i="9"/>
  <c r="J10" i="9"/>
  <c r="K10" i="9" s="1"/>
  <c r="L10" i="9" s="1"/>
  <c r="AG10" i="9" s="1"/>
  <c r="J75" i="7"/>
  <c r="K75" i="7" s="1"/>
  <c r="L75" i="7" s="1"/>
  <c r="AC75" i="7" s="1"/>
  <c r="AD48" i="7"/>
  <c r="AH48" i="7"/>
  <c r="AB48" i="7"/>
  <c r="AE48" i="7"/>
  <c r="AI48" i="7"/>
  <c r="AC48" i="7"/>
  <c r="AF48" i="7"/>
  <c r="J9" i="7"/>
  <c r="K9" i="7" s="1"/>
  <c r="L9" i="7" s="1"/>
  <c r="J68" i="9" l="1"/>
  <c r="K68" i="9" s="1"/>
  <c r="L68" i="9" s="1"/>
  <c r="AF68" i="9" s="1"/>
  <c r="AF10" i="9"/>
  <c r="AE10" i="9"/>
  <c r="AC10" i="9"/>
  <c r="AD10" i="9"/>
  <c r="AH10" i="9"/>
  <c r="AI10" i="9"/>
  <c r="AB10" i="9"/>
  <c r="AB75" i="7"/>
  <c r="AE75" i="7"/>
  <c r="AH75" i="7"/>
  <c r="AF75" i="7"/>
  <c r="AG75" i="7"/>
  <c r="AI75" i="7"/>
  <c r="AD75" i="7"/>
  <c r="J49" i="7"/>
  <c r="K49" i="7" s="1"/>
  <c r="L49" i="7" s="1"/>
  <c r="AG49" i="7" s="1"/>
  <c r="AG9" i="7"/>
  <c r="AE9" i="7"/>
  <c r="AF9" i="7"/>
  <c r="AI9" i="7"/>
  <c r="AH9" i="7"/>
  <c r="AB9" i="7"/>
  <c r="AD9" i="7"/>
  <c r="AC9" i="7"/>
  <c r="J10" i="7" s="1"/>
  <c r="K10" i="7" s="1"/>
  <c r="AD68" i="9" l="1"/>
  <c r="AG68" i="9"/>
  <c r="AB68" i="9"/>
  <c r="AH68" i="9"/>
  <c r="AI68" i="9"/>
  <c r="AE68" i="9"/>
  <c r="AC68" i="9"/>
  <c r="J11" i="9"/>
  <c r="K11" i="9" s="1"/>
  <c r="L11" i="9" s="1"/>
  <c r="AG11" i="9" s="1"/>
  <c r="J76" i="7"/>
  <c r="K76" i="7" s="1"/>
  <c r="L76" i="7" s="1"/>
  <c r="AC76" i="7" s="1"/>
  <c r="AF49" i="7"/>
  <c r="AB49" i="7"/>
  <c r="AI49" i="7"/>
  <c r="AD49" i="7"/>
  <c r="AC49" i="7"/>
  <c r="AH49" i="7"/>
  <c r="AE49" i="7"/>
  <c r="L10" i="7"/>
  <c r="AG10" i="7" s="1"/>
  <c r="AI10" i="7"/>
  <c r="AD10" i="7"/>
  <c r="AF10" i="7"/>
  <c r="AB10" i="7"/>
  <c r="J69" i="9" l="1"/>
  <c r="K69" i="9" s="1"/>
  <c r="L69" i="9" s="1"/>
  <c r="AF69" i="9" s="1"/>
  <c r="AF11" i="9"/>
  <c r="AC11" i="9"/>
  <c r="AH11" i="9"/>
  <c r="AI11" i="9"/>
  <c r="AD11" i="9"/>
  <c r="AE11" i="9"/>
  <c r="AB11" i="9"/>
  <c r="AI76" i="7"/>
  <c r="AB76" i="7"/>
  <c r="AH76" i="7"/>
  <c r="AG76" i="7"/>
  <c r="AF76" i="7"/>
  <c r="AE76" i="7"/>
  <c r="AD76" i="7"/>
  <c r="J50" i="7"/>
  <c r="K50" i="7" s="1"/>
  <c r="L50" i="7" s="1"/>
  <c r="AG50" i="7" s="1"/>
  <c r="AH10" i="7"/>
  <c r="AE10" i="7"/>
  <c r="AC10" i="7"/>
  <c r="J11" i="7"/>
  <c r="K11" i="7" s="1"/>
  <c r="AB69" i="9" l="1"/>
  <c r="AD69" i="9"/>
  <c r="AC69" i="9"/>
  <c r="AH69" i="9"/>
  <c r="AI69" i="9"/>
  <c r="AG69" i="9"/>
  <c r="AE69" i="9"/>
  <c r="J12" i="9"/>
  <c r="K12" i="9" s="1"/>
  <c r="L12" i="9" s="1"/>
  <c r="AG12" i="9" s="1"/>
  <c r="J77" i="7"/>
  <c r="K77" i="7" s="1"/>
  <c r="L77" i="7" s="1"/>
  <c r="AC77" i="7" s="1"/>
  <c r="AE50" i="7"/>
  <c r="AC50" i="7"/>
  <c r="AD50" i="7"/>
  <c r="AF50" i="7"/>
  <c r="AB50" i="7"/>
  <c r="AH50" i="7"/>
  <c r="AI50" i="7"/>
  <c r="L11" i="7"/>
  <c r="J70" i="9" l="1"/>
  <c r="K70" i="9" s="1"/>
  <c r="L70" i="9" s="1"/>
  <c r="AH70" i="9" s="1"/>
  <c r="AF12" i="9"/>
  <c r="AD12" i="9"/>
  <c r="AE12" i="9"/>
  <c r="AH12" i="9"/>
  <c r="AI12" i="9"/>
  <c r="AC12" i="9"/>
  <c r="AB12" i="9"/>
  <c r="AI77" i="7"/>
  <c r="AF77" i="7"/>
  <c r="AB77" i="7"/>
  <c r="AE77" i="7"/>
  <c r="AH77" i="7"/>
  <c r="AD77" i="7"/>
  <c r="AG77" i="7"/>
  <c r="J51" i="7"/>
  <c r="K51" i="7" s="1"/>
  <c r="L51" i="7" s="1"/>
  <c r="AG51" i="7" s="1"/>
  <c r="AG11" i="7"/>
  <c r="AB11" i="7"/>
  <c r="AF11" i="7"/>
  <c r="AI11" i="7"/>
  <c r="AC11" i="7"/>
  <c r="AE11" i="7"/>
  <c r="AD11" i="7"/>
  <c r="AH11" i="7"/>
  <c r="AC70" i="9" l="1"/>
  <c r="AF70" i="9"/>
  <c r="AI70" i="9"/>
  <c r="AB70" i="9"/>
  <c r="AG70" i="9"/>
  <c r="AD70" i="9"/>
  <c r="AE70" i="9"/>
  <c r="J13" i="9"/>
  <c r="K13" i="9" s="1"/>
  <c r="L13" i="9" s="1"/>
  <c r="AG13" i="9" s="1"/>
  <c r="J78" i="7"/>
  <c r="K78" i="7" s="1"/>
  <c r="L78" i="7" s="1"/>
  <c r="AC78" i="7" s="1"/>
  <c r="AF51" i="7"/>
  <c r="AI51" i="7"/>
  <c r="AB51" i="7"/>
  <c r="AE51" i="7"/>
  <c r="AC51" i="7"/>
  <c r="AH51" i="7"/>
  <c r="AD51" i="7"/>
  <c r="J12" i="7"/>
  <c r="K12" i="7" s="1"/>
  <c r="L12" i="7"/>
  <c r="AD13" i="9" l="1"/>
  <c r="AH13" i="9"/>
  <c r="AI13" i="9"/>
  <c r="AF13" i="9"/>
  <c r="AE13" i="9"/>
  <c r="AB13" i="9"/>
  <c r="AC13" i="9"/>
  <c r="AH78" i="7"/>
  <c r="AF78" i="7"/>
  <c r="AB78" i="7"/>
  <c r="AE78" i="7"/>
  <c r="AG78" i="7"/>
  <c r="AD78" i="7"/>
  <c r="AI78" i="7"/>
  <c r="J52" i="7"/>
  <c r="K52" i="7" s="1"/>
  <c r="L52" i="7" s="1"/>
  <c r="AG52" i="7" s="1"/>
  <c r="AG12" i="7"/>
  <c r="AI12" i="7"/>
  <c r="AF12" i="7"/>
  <c r="AE12" i="7"/>
  <c r="AC12" i="7"/>
  <c r="AD12" i="7"/>
  <c r="AH12" i="7"/>
  <c r="AB12" i="7"/>
  <c r="J13" i="7" s="1"/>
  <c r="K13" i="7" s="1"/>
  <c r="J14" i="9" l="1"/>
  <c r="K14" i="9" s="1"/>
  <c r="L14" i="9" s="1"/>
  <c r="AG14" i="9" s="1"/>
  <c r="J79" i="7"/>
  <c r="K79" i="7" s="1"/>
  <c r="L79" i="7" s="1"/>
  <c r="AC79" i="7" s="1"/>
  <c r="AF52" i="7"/>
  <c r="AC52" i="7"/>
  <c r="AI52" i="7"/>
  <c r="AB52" i="7"/>
  <c r="AH52" i="7"/>
  <c r="AD52" i="7"/>
  <c r="AE52" i="7"/>
  <c r="L13" i="7"/>
  <c r="AI14" i="9" l="1"/>
  <c r="AF14" i="9"/>
  <c r="AB14" i="9"/>
  <c r="AD14" i="9"/>
  <c r="AE14" i="9"/>
  <c r="AH14" i="9"/>
  <c r="AC14" i="9"/>
  <c r="AB79" i="7"/>
  <c r="AE79" i="7"/>
  <c r="AF79" i="7"/>
  <c r="AH79" i="7"/>
  <c r="AG79" i="7"/>
  <c r="AD79" i="7"/>
  <c r="AI79" i="7"/>
  <c r="J53" i="7"/>
  <c r="K53" i="7" s="1"/>
  <c r="L53" i="7" s="1"/>
  <c r="AG53" i="7" s="1"/>
  <c r="AG13" i="7"/>
  <c r="AC13" i="7"/>
  <c r="AF13" i="7"/>
  <c r="AH13" i="7"/>
  <c r="AD13" i="7"/>
  <c r="AE13" i="7"/>
  <c r="AI13" i="7"/>
  <c r="AB13" i="7"/>
  <c r="J14" i="7" s="1"/>
  <c r="K14" i="7" s="1"/>
  <c r="J15" i="9" l="1"/>
  <c r="K15" i="9" s="1"/>
  <c r="L15" i="9" s="1"/>
  <c r="AG15" i="9" s="1"/>
  <c r="J80" i="7"/>
  <c r="K80" i="7" s="1"/>
  <c r="L80" i="7" s="1"/>
  <c r="AC80" i="7" s="1"/>
  <c r="AF53" i="7"/>
  <c r="AH53" i="7"/>
  <c r="AC53" i="7"/>
  <c r="AI53" i="7"/>
  <c r="AE53" i="7"/>
  <c r="AD53" i="7"/>
  <c r="AB53" i="7"/>
  <c r="L14" i="7"/>
  <c r="AD15" i="9" l="1"/>
  <c r="AE15" i="9"/>
  <c r="AF15" i="9"/>
  <c r="AI15" i="9"/>
  <c r="AH15" i="9"/>
  <c r="AB15" i="9"/>
  <c r="AC15" i="9"/>
  <c r="AI80" i="7"/>
  <c r="AB80" i="7"/>
  <c r="AE80" i="7"/>
  <c r="AG80" i="7"/>
  <c r="AF80" i="7"/>
  <c r="AD80" i="7"/>
  <c r="AH80" i="7"/>
  <c r="J54" i="7"/>
  <c r="K54" i="7" s="1"/>
  <c r="L54" i="7" s="1"/>
  <c r="AG54" i="7" s="1"/>
  <c r="AG14" i="7"/>
  <c r="AH14" i="7"/>
  <c r="AF14" i="7"/>
  <c r="AB14" i="7"/>
  <c r="J15" i="7" s="1"/>
  <c r="K15" i="7" s="1"/>
  <c r="AC14" i="7"/>
  <c r="AD14" i="7"/>
  <c r="AE14" i="7"/>
  <c r="AI14" i="7"/>
  <c r="J16" i="9" l="1"/>
  <c r="K16" i="9" s="1"/>
  <c r="L16" i="9" s="1"/>
  <c r="AG16" i="9" s="1"/>
  <c r="J81" i="7"/>
  <c r="K81" i="7" s="1"/>
  <c r="L81" i="7" s="1"/>
  <c r="AC81" i="7" s="1"/>
  <c r="AC54" i="7"/>
  <c r="AH54" i="7"/>
  <c r="AB54" i="7"/>
  <c r="AF54" i="7"/>
  <c r="AE54" i="7"/>
  <c r="AD54" i="7"/>
  <c r="AI54" i="7"/>
  <c r="L15" i="7"/>
  <c r="AG15" i="7" s="1"/>
  <c r="AI15" i="7"/>
  <c r="AC15" i="7"/>
  <c r="AD16" i="9" l="1"/>
  <c r="AI16" i="9"/>
  <c r="AE16" i="9"/>
  <c r="AC16" i="9"/>
  <c r="AH16" i="9"/>
  <c r="AB16" i="9"/>
  <c r="AF16" i="9"/>
  <c r="AB81" i="7"/>
  <c r="AF81" i="7"/>
  <c r="AH81" i="7"/>
  <c r="AI81" i="7"/>
  <c r="AD81" i="7"/>
  <c r="AE81" i="7"/>
  <c r="AG81" i="7"/>
  <c r="J55" i="7"/>
  <c r="K55" i="7" s="1"/>
  <c r="L55" i="7" s="1"/>
  <c r="AG55" i="7" s="1"/>
  <c r="AD15" i="7"/>
  <c r="AF15" i="7"/>
  <c r="AB15" i="7"/>
  <c r="J16" i="7" s="1"/>
  <c r="K16" i="7" s="1"/>
  <c r="AE15" i="7"/>
  <c r="AH15" i="7"/>
  <c r="J17" i="9" l="1"/>
  <c r="K17" i="9" s="1"/>
  <c r="L17" i="9" s="1"/>
  <c r="AG17" i="9" s="1"/>
  <c r="J82" i="7"/>
  <c r="K82" i="7" s="1"/>
  <c r="L82" i="7" s="1"/>
  <c r="AC82" i="7" s="1"/>
  <c r="AE55" i="7"/>
  <c r="AH55" i="7"/>
  <c r="AI55" i="7"/>
  <c r="AF55" i="7"/>
  <c r="AD55" i="7"/>
  <c r="AC55" i="7"/>
  <c r="AB55" i="7"/>
  <c r="L16" i="7"/>
  <c r="AE17" i="9" l="1"/>
  <c r="AC17" i="9"/>
  <c r="AB17" i="9"/>
  <c r="AD17" i="9"/>
  <c r="AH17" i="9"/>
  <c r="AI17" i="9"/>
  <c r="AF17" i="9"/>
  <c r="AG82" i="7"/>
  <c r="AB82" i="7"/>
  <c r="AF82" i="7"/>
  <c r="AD82" i="7"/>
  <c r="AH82" i="7"/>
  <c r="AE82" i="7"/>
  <c r="AI82" i="7"/>
  <c r="J56" i="7"/>
  <c r="K56" i="7" s="1"/>
  <c r="L56" i="7" s="1"/>
  <c r="AG16" i="7"/>
  <c r="AB16" i="7"/>
  <c r="AH16" i="7"/>
  <c r="AE16" i="7"/>
  <c r="AI16" i="7"/>
  <c r="AC16" i="7"/>
  <c r="AF16" i="7"/>
  <c r="AD16" i="7"/>
  <c r="J17" i="7" s="1"/>
  <c r="K17" i="7" s="1"/>
  <c r="J18" i="9" l="1"/>
  <c r="K18" i="9" s="1"/>
  <c r="L18" i="9" s="1"/>
  <c r="AG18" i="9" s="1"/>
  <c r="J83" i="7"/>
  <c r="K83" i="7" s="1"/>
  <c r="L83" i="7" s="1"/>
  <c r="AC83" i="7" s="1"/>
  <c r="AE56" i="7"/>
  <c r="AG56" i="7"/>
  <c r="AC56" i="7"/>
  <c r="AF56" i="7"/>
  <c r="AB56" i="7"/>
  <c r="AI56" i="7"/>
  <c r="AD56" i="7"/>
  <c r="AH56" i="7"/>
  <c r="L17" i="7"/>
  <c r="AD18" i="9" l="1"/>
  <c r="AC18" i="9"/>
  <c r="AE18" i="9"/>
  <c r="AH18" i="9"/>
  <c r="AI18" i="9"/>
  <c r="AB18" i="9"/>
  <c r="AF18" i="9"/>
  <c r="AG83" i="7"/>
  <c r="AE83" i="7"/>
  <c r="AB83" i="7"/>
  <c r="AH83" i="7"/>
  <c r="AD83" i="7"/>
  <c r="AI83" i="7"/>
  <c r="AF83" i="7"/>
  <c r="J57" i="7"/>
  <c r="K57" i="7" s="1"/>
  <c r="L57" i="7" s="1"/>
  <c r="AC57" i="7" s="1"/>
  <c r="AG17" i="7"/>
  <c r="AF17" i="7"/>
  <c r="AH17" i="7"/>
  <c r="AE17" i="7"/>
  <c r="AC17" i="7"/>
  <c r="AI17" i="7"/>
  <c r="AD17" i="7"/>
  <c r="AB17" i="7"/>
  <c r="J18" i="7" s="1"/>
  <c r="K18" i="7" s="1"/>
  <c r="J19" i="9" l="1"/>
  <c r="K19" i="9" s="1"/>
  <c r="L19" i="9" s="1"/>
  <c r="AG19" i="9" s="1"/>
  <c r="J84" i="7"/>
  <c r="K84" i="7" s="1"/>
  <c r="L84" i="7" s="1"/>
  <c r="AC84" i="7" s="1"/>
  <c r="AB57" i="7"/>
  <c r="AH57" i="7"/>
  <c r="AG57" i="7"/>
  <c r="AI57" i="7"/>
  <c r="AF57" i="7"/>
  <c r="AE57" i="7"/>
  <c r="AD57" i="7"/>
  <c r="L18" i="7"/>
  <c r="AD19" i="9" l="1"/>
  <c r="AB19" i="9"/>
  <c r="AC19" i="9"/>
  <c r="AH19" i="9"/>
  <c r="AI19" i="9"/>
  <c r="AE19" i="9"/>
  <c r="AF19" i="9"/>
  <c r="AG84" i="7"/>
  <c r="AD84" i="7"/>
  <c r="AF84" i="7"/>
  <c r="AE84" i="7"/>
  <c r="AH84" i="7"/>
  <c r="AB84" i="7"/>
  <c r="AI84" i="7"/>
  <c r="J58" i="7"/>
  <c r="K58" i="7" s="1"/>
  <c r="L58" i="7" s="1"/>
  <c r="AC58" i="7" s="1"/>
  <c r="AG18" i="7"/>
  <c r="AD18" i="7"/>
  <c r="AI18" i="7"/>
  <c r="AH18" i="7"/>
  <c r="AE18" i="7"/>
  <c r="AF18" i="7"/>
  <c r="AB18" i="7"/>
  <c r="AC18" i="7"/>
  <c r="J20" i="9" l="1"/>
  <c r="K20" i="9" s="1"/>
  <c r="L20" i="9" s="1"/>
  <c r="AG20" i="9" s="1"/>
  <c r="J85" i="7"/>
  <c r="K85" i="7" s="1"/>
  <c r="L85" i="7" s="1"/>
  <c r="AC85" i="7" s="1"/>
  <c r="AI58" i="7"/>
  <c r="AD58" i="7"/>
  <c r="AB58" i="7"/>
  <c r="AF58" i="7"/>
  <c r="AH58" i="7"/>
  <c r="AE58" i="7"/>
  <c r="AG58" i="7"/>
  <c r="J19" i="7"/>
  <c r="K19" i="7" s="1"/>
  <c r="L19" i="7" s="1"/>
  <c r="AB20" i="9" l="1"/>
  <c r="AH20" i="9"/>
  <c r="AI20" i="9"/>
  <c r="AC20" i="9"/>
  <c r="AE20" i="9"/>
  <c r="AD20" i="9"/>
  <c r="AF20" i="9"/>
  <c r="AG85" i="7"/>
  <c r="AB85" i="7"/>
  <c r="AE85" i="7"/>
  <c r="AD85" i="7"/>
  <c r="AH85" i="7"/>
  <c r="AF85" i="7"/>
  <c r="AI85" i="7"/>
  <c r="J59" i="7"/>
  <c r="K59" i="7" s="1"/>
  <c r="L59" i="7" s="1"/>
  <c r="AC59" i="7" s="1"/>
  <c r="AG19" i="7"/>
  <c r="AF19" i="7"/>
  <c r="AI19" i="7"/>
  <c r="AH19" i="7"/>
  <c r="AE19" i="7"/>
  <c r="AC19" i="7"/>
  <c r="AD19" i="7"/>
  <c r="AB19" i="7"/>
  <c r="J20" i="7" s="1"/>
  <c r="K20" i="7" s="1"/>
  <c r="J21" i="9" l="1"/>
  <c r="K21" i="9" s="1"/>
  <c r="L21" i="9" s="1"/>
  <c r="AG21" i="9" s="1"/>
  <c r="J86" i="7"/>
  <c r="K86" i="7" s="1"/>
  <c r="L86" i="7" s="1"/>
  <c r="AC86" i="7" s="1"/>
  <c r="AI59" i="7"/>
  <c r="AH59" i="7"/>
  <c r="AD59" i="7"/>
  <c r="AB59" i="7"/>
  <c r="AE59" i="7"/>
  <c r="AF59" i="7"/>
  <c r="AG59" i="7"/>
  <c r="L20" i="7"/>
  <c r="AF21" i="9" l="1"/>
  <c r="AH21" i="9"/>
  <c r="AB21" i="9"/>
  <c r="AC21" i="9"/>
  <c r="AD21" i="9"/>
  <c r="AE21" i="9"/>
  <c r="AI21" i="9"/>
  <c r="AH86" i="7"/>
  <c r="AB86" i="7"/>
  <c r="AG86" i="7"/>
  <c r="AF86" i="7"/>
  <c r="AE86" i="7"/>
  <c r="AD86" i="7"/>
  <c r="AI86" i="7"/>
  <c r="J60" i="7"/>
  <c r="K60" i="7" s="1"/>
  <c r="L60" i="7" s="1"/>
  <c r="AC60" i="7" s="1"/>
  <c r="AG20" i="7"/>
  <c r="AC20" i="7"/>
  <c r="AI20" i="7"/>
  <c r="AD20" i="7"/>
  <c r="AE20" i="7"/>
  <c r="AH20" i="7"/>
  <c r="AB20" i="7"/>
  <c r="J21" i="7" s="1"/>
  <c r="AF20" i="7"/>
  <c r="J22" i="9" l="1"/>
  <c r="K22" i="9" s="1"/>
  <c r="L22" i="9" s="1"/>
  <c r="AG22" i="9" s="1"/>
  <c r="J87" i="7"/>
  <c r="K87" i="7" s="1"/>
  <c r="L87" i="7" s="1"/>
  <c r="AC87" i="7" s="1"/>
  <c r="AH60" i="7"/>
  <c r="AE60" i="7"/>
  <c r="AF60" i="7"/>
  <c r="AD60" i="7"/>
  <c r="AI60" i="7"/>
  <c r="AB60" i="7"/>
  <c r="J61" i="7" s="1"/>
  <c r="K61" i="7" s="1"/>
  <c r="AG60" i="7"/>
  <c r="K21" i="7"/>
  <c r="L21" i="7" s="1"/>
  <c r="AF22" i="9" l="1"/>
  <c r="AE22" i="9"/>
  <c r="AC22" i="9"/>
  <c r="AD22" i="9"/>
  <c r="AB22" i="9"/>
  <c r="AH22" i="9"/>
  <c r="AI22" i="9"/>
  <c r="AF87" i="7"/>
  <c r="AE87" i="7"/>
  <c r="AG87" i="7"/>
  <c r="AB87" i="7"/>
  <c r="AI87" i="7"/>
  <c r="AH87" i="7"/>
  <c r="AD87" i="7"/>
  <c r="AG21" i="7"/>
  <c r="AC21" i="7"/>
  <c r="AF21" i="7"/>
  <c r="AB21" i="7"/>
  <c r="AI21" i="7"/>
  <c r="AE21" i="7"/>
  <c r="AH21" i="7"/>
  <c r="AD21" i="7"/>
  <c r="J23" i="9" l="1"/>
  <c r="K23" i="9" s="1"/>
  <c r="L23" i="9" s="1"/>
  <c r="AG23" i="9" s="1"/>
  <c r="J88" i="7"/>
  <c r="K88" i="7" s="1"/>
  <c r="L88" i="7" s="1"/>
  <c r="AC88" i="7" s="1"/>
  <c r="J22" i="7"/>
  <c r="K22" i="7" s="1"/>
  <c r="L22" i="7" s="1"/>
  <c r="AB22" i="7" s="1"/>
  <c r="AF23" i="9" l="1"/>
  <c r="AI23" i="9"/>
  <c r="AD23" i="9"/>
  <c r="AB23" i="9"/>
  <c r="AE23" i="9"/>
  <c r="AC23" i="9"/>
  <c r="AH23" i="9"/>
  <c r="AI88" i="7"/>
  <c r="AB88" i="7"/>
  <c r="AE88" i="7"/>
  <c r="AG88" i="7"/>
  <c r="AH88" i="7"/>
  <c r="AF88" i="7"/>
  <c r="AD88" i="7"/>
  <c r="AG22" i="7"/>
  <c r="AI22" i="7"/>
  <c r="AD22" i="7"/>
  <c r="AC22" i="7"/>
  <c r="AE22" i="7"/>
  <c r="AF22" i="7"/>
  <c r="AH22" i="7"/>
  <c r="J24" i="9" l="1"/>
  <c r="K24" i="9" s="1"/>
  <c r="L24" i="9" s="1"/>
  <c r="AG24" i="9" s="1"/>
  <c r="J89" i="7"/>
  <c r="K89" i="7" s="1"/>
  <c r="L89" i="7" s="1"/>
  <c r="AC89" i="7" s="1"/>
  <c r="J23" i="7"/>
  <c r="K23" i="7" s="1"/>
  <c r="L23" i="7" s="1"/>
  <c r="AF24" i="9" l="1"/>
  <c r="AD24" i="9"/>
  <c r="AI24" i="9"/>
  <c r="AB24" i="9"/>
  <c r="AC24" i="9"/>
  <c r="AE24" i="9"/>
  <c r="AH24" i="9"/>
  <c r="AI89" i="7"/>
  <c r="AG89" i="7"/>
  <c r="AF89" i="7"/>
  <c r="AD89" i="7"/>
  <c r="AH89" i="7"/>
  <c r="AB89" i="7"/>
  <c r="AE89" i="7"/>
  <c r="AD23" i="7"/>
  <c r="AB23" i="7"/>
  <c r="AI23" i="7"/>
  <c r="AG23" i="7"/>
  <c r="AE23" i="7"/>
  <c r="AF23" i="7"/>
  <c r="AH23" i="7"/>
  <c r="AC23" i="7"/>
  <c r="J25" i="9" l="1"/>
  <c r="K25" i="9" s="1"/>
  <c r="L25" i="9" s="1"/>
  <c r="AG25" i="9" s="1"/>
  <c r="J90" i="7"/>
  <c r="K90" i="7" s="1"/>
  <c r="L90" i="7" s="1"/>
  <c r="AC90" i="7" s="1"/>
  <c r="J24" i="7"/>
  <c r="K24" i="7" s="1"/>
  <c r="L24" i="7" s="1"/>
  <c r="AD24" i="7" s="1"/>
  <c r="AI25" i="9" l="1"/>
  <c r="AF25" i="9"/>
  <c r="AE25" i="9"/>
  <c r="AD25" i="9"/>
  <c r="AB25" i="9"/>
  <c r="AC25" i="9"/>
  <c r="AH25" i="9"/>
  <c r="AI90" i="7"/>
  <c r="AE90" i="7"/>
  <c r="AB90" i="7"/>
  <c r="AH90" i="7"/>
  <c r="AF90" i="7"/>
  <c r="AG90" i="7"/>
  <c r="AD90" i="7"/>
  <c r="AB24" i="7"/>
  <c r="AE24" i="7"/>
  <c r="AF24" i="7"/>
  <c r="AH24" i="7"/>
  <c r="AI24" i="7"/>
  <c r="AC24" i="7"/>
  <c r="AG24" i="7"/>
  <c r="J26" i="9" l="1"/>
  <c r="K26" i="9" s="1"/>
  <c r="L26" i="9" s="1"/>
  <c r="AG26" i="9" s="1"/>
  <c r="J91" i="7"/>
  <c r="K91" i="7" s="1"/>
  <c r="L91" i="7" s="1"/>
  <c r="AC91" i="7" s="1"/>
  <c r="J25" i="7"/>
  <c r="K25" i="7" s="1"/>
  <c r="L25" i="7" s="1"/>
  <c r="AD25" i="7" s="1"/>
  <c r="AF26" i="9" l="1"/>
  <c r="AC26" i="9"/>
  <c r="AD26" i="9"/>
  <c r="AI26" i="9"/>
  <c r="AB26" i="9"/>
  <c r="AE26" i="9"/>
  <c r="AH26" i="9"/>
  <c r="AI91" i="7"/>
  <c r="AG91" i="7"/>
  <c r="AF91" i="7"/>
  <c r="AD91" i="7"/>
  <c r="AH91" i="7"/>
  <c r="AE91" i="7"/>
  <c r="AB91" i="7"/>
  <c r="AB25" i="7"/>
  <c r="AG25" i="7"/>
  <c r="AH25" i="7"/>
  <c r="AE25" i="7"/>
  <c r="AI25" i="7"/>
  <c r="AF25" i="7"/>
  <c r="AC25" i="7"/>
  <c r="J27" i="9" l="1"/>
  <c r="K27" i="9" s="1"/>
  <c r="L27" i="9" s="1"/>
  <c r="AG27" i="9" s="1"/>
  <c r="J92" i="7"/>
  <c r="K92" i="7" s="1"/>
  <c r="L92" i="7" s="1"/>
  <c r="AC92" i="7" s="1"/>
  <c r="J26" i="7"/>
  <c r="K26" i="7" s="1"/>
  <c r="L26" i="7" s="1"/>
  <c r="AD26" i="7" s="1"/>
  <c r="AI27" i="9" l="1"/>
  <c r="AH27" i="9"/>
  <c r="AF27" i="9"/>
  <c r="AB27" i="9"/>
  <c r="AC27" i="9"/>
  <c r="AE27" i="9"/>
  <c r="AD27" i="9"/>
  <c r="AI92" i="7"/>
  <c r="AH92" i="7"/>
  <c r="AG92" i="7"/>
  <c r="AB92" i="7"/>
  <c r="AE92" i="7"/>
  <c r="AD92" i="7"/>
  <c r="AF92" i="7"/>
  <c r="AC26" i="7"/>
  <c r="AB26" i="7"/>
  <c r="AG26" i="7"/>
  <c r="AI26" i="7"/>
  <c r="AH26" i="7"/>
  <c r="AF26" i="7"/>
  <c r="AE26" i="7"/>
  <c r="J28" i="9" l="1"/>
  <c r="K28" i="9" s="1"/>
  <c r="L28" i="9" s="1"/>
  <c r="AG28" i="9" s="1"/>
  <c r="J93" i="7"/>
  <c r="K93" i="7" s="1"/>
  <c r="L93" i="7" s="1"/>
  <c r="AC93" i="7" s="1"/>
  <c r="J27" i="7"/>
  <c r="K27" i="7" s="1"/>
  <c r="L27" i="7" s="1"/>
  <c r="AD27" i="7" s="1"/>
  <c r="AI28" i="9" l="1"/>
  <c r="AD28" i="9"/>
  <c r="AH28" i="9"/>
  <c r="AB28" i="9"/>
  <c r="AF28" i="9"/>
  <c r="AC28" i="9"/>
  <c r="AE28" i="9"/>
  <c r="AB93" i="7"/>
  <c r="AE93" i="7"/>
  <c r="AH93" i="7"/>
  <c r="AI93" i="7"/>
  <c r="AD93" i="7"/>
  <c r="AG93" i="7"/>
  <c r="AF93" i="7"/>
  <c r="AC27" i="7"/>
  <c r="AH27" i="7"/>
  <c r="AF27" i="7"/>
  <c r="AI27" i="7"/>
  <c r="AG27" i="7"/>
  <c r="AB27" i="7"/>
  <c r="AE27" i="7"/>
  <c r="J29" i="9" l="1"/>
  <c r="K29" i="9" s="1"/>
  <c r="L29" i="9" s="1"/>
  <c r="AG29" i="9" s="1"/>
  <c r="J94" i="7"/>
  <c r="K94" i="7" s="1"/>
  <c r="L94" i="7" s="1"/>
  <c r="AC94" i="7" s="1"/>
  <c r="J28" i="7"/>
  <c r="K28" i="7" s="1"/>
  <c r="L28" i="7" s="1"/>
  <c r="AI29" i="9" l="1"/>
  <c r="AE29" i="9"/>
  <c r="AD29" i="9"/>
  <c r="AB29" i="9"/>
  <c r="AH29" i="9"/>
  <c r="AF29" i="9"/>
  <c r="AC29" i="9"/>
  <c r="AI94" i="7"/>
  <c r="AB94" i="7"/>
  <c r="AE94" i="7"/>
  <c r="AG94" i="7"/>
  <c r="AF94" i="7"/>
  <c r="AD94" i="7"/>
  <c r="AH94" i="7"/>
  <c r="AD28" i="7"/>
  <c r="AC28" i="7"/>
  <c r="AB28" i="7"/>
  <c r="AE28" i="7"/>
  <c r="AF28" i="7"/>
  <c r="AG28" i="7"/>
  <c r="AH28" i="7"/>
  <c r="AI28" i="7"/>
  <c r="J30" i="9" l="1"/>
  <c r="K30" i="9" s="1"/>
  <c r="L30" i="9" s="1"/>
  <c r="AG30" i="9" s="1"/>
  <c r="J95" i="7"/>
  <c r="K95" i="7" s="1"/>
  <c r="L95" i="7" s="1"/>
  <c r="AC95" i="7" s="1"/>
  <c r="J29" i="7"/>
  <c r="K29" i="7" s="1"/>
  <c r="L29" i="7" s="1"/>
  <c r="AD29" i="7" s="1"/>
  <c r="AC30" i="9" l="1"/>
  <c r="AI30" i="9"/>
  <c r="AB30" i="9"/>
  <c r="AH30" i="9"/>
  <c r="AE30" i="9"/>
  <c r="AD30" i="9"/>
  <c r="AF30" i="9"/>
  <c r="AE95" i="7"/>
  <c r="AB95" i="7"/>
  <c r="AG95" i="7"/>
  <c r="AD95" i="7"/>
  <c r="AI95" i="7"/>
  <c r="AF95" i="7"/>
  <c r="AH95" i="7"/>
  <c r="AB29" i="7"/>
  <c r="AC29" i="7"/>
  <c r="AE29" i="7"/>
  <c r="AI29" i="7"/>
  <c r="AF29" i="7"/>
  <c r="AH29" i="7"/>
  <c r="AG29" i="7"/>
  <c r="J31" i="9" l="1"/>
  <c r="K31" i="9" s="1"/>
  <c r="L31" i="9" s="1"/>
  <c r="AG31" i="9" s="1"/>
  <c r="J96" i="7"/>
  <c r="K96" i="7" s="1"/>
  <c r="L96" i="7" s="1"/>
  <c r="AC96" i="7" s="1"/>
  <c r="J30" i="7"/>
  <c r="K30" i="7" s="1"/>
  <c r="L30" i="7" s="1"/>
  <c r="AD30" i="7" s="1"/>
  <c r="AF31" i="9" l="1"/>
  <c r="AH31" i="9"/>
  <c r="AD31" i="9"/>
  <c r="AC31" i="9"/>
  <c r="AE31" i="9"/>
  <c r="AI31" i="9"/>
  <c r="AB31" i="9"/>
  <c r="AI96" i="7"/>
  <c r="AH96" i="7"/>
  <c r="AB96" i="7"/>
  <c r="AG96" i="7"/>
  <c r="AE96" i="7"/>
  <c r="AF96" i="7"/>
  <c r="AD96" i="7"/>
  <c r="AI30" i="7"/>
  <c r="AB30" i="7"/>
  <c r="AC30" i="7"/>
  <c r="AF30" i="7"/>
  <c r="AE30" i="7"/>
  <c r="AH30" i="7"/>
  <c r="AG30" i="7"/>
  <c r="J32" i="9" l="1"/>
  <c r="K32" i="9" s="1"/>
  <c r="L32" i="9" s="1"/>
  <c r="AG32" i="9" s="1"/>
  <c r="J97" i="7"/>
  <c r="K97" i="7" s="1"/>
  <c r="L97" i="7" s="1"/>
  <c r="AC97" i="7" s="1"/>
  <c r="J31" i="7"/>
  <c r="K31" i="7" s="1"/>
  <c r="L31" i="7" s="1"/>
  <c r="AD31" i="7" s="1"/>
  <c r="AD32" i="9" l="1"/>
  <c r="AE32" i="9"/>
  <c r="AI32" i="9"/>
  <c r="AF32" i="9"/>
  <c r="AC32" i="9"/>
  <c r="AH32" i="9"/>
  <c r="AB32" i="9"/>
  <c r="AH97" i="7"/>
  <c r="AB97" i="7"/>
  <c r="AF97" i="7"/>
  <c r="AG97" i="7"/>
  <c r="AE97" i="7"/>
  <c r="AI97" i="7"/>
  <c r="AD97" i="7"/>
  <c r="AI31" i="7"/>
  <c r="AB31" i="7"/>
  <c r="AG31" i="7"/>
  <c r="AE31" i="7"/>
  <c r="AF31" i="7"/>
  <c r="AH31" i="7"/>
  <c r="AC31" i="7"/>
  <c r="J33" i="9" l="1"/>
  <c r="K33" i="9" s="1"/>
  <c r="L33" i="9" s="1"/>
  <c r="AG33" i="9" s="1"/>
  <c r="J98" i="7"/>
  <c r="K98" i="7" s="1"/>
  <c r="L98" i="7" s="1"/>
  <c r="AC98" i="7" s="1"/>
  <c r="J32" i="7"/>
  <c r="K32" i="7" s="1"/>
  <c r="L32" i="7" s="1"/>
  <c r="AH32" i="7" s="1"/>
  <c r="AI33" i="9" l="1"/>
  <c r="AB33" i="9"/>
  <c r="AH33" i="9"/>
  <c r="AD33" i="9"/>
  <c r="AE33" i="9"/>
  <c r="AF33" i="9"/>
  <c r="AC33" i="9"/>
  <c r="AH98" i="7"/>
  <c r="AI98" i="7"/>
  <c r="AG98" i="7"/>
  <c r="AD98" i="7"/>
  <c r="AE98" i="7"/>
  <c r="AF98" i="7"/>
  <c r="AB98" i="7"/>
  <c r="AF32" i="7"/>
  <c r="AD32" i="7"/>
  <c r="AI32" i="7"/>
  <c r="AB32" i="7"/>
  <c r="AE32" i="7"/>
  <c r="AG32" i="7"/>
  <c r="AC32" i="7"/>
  <c r="J34" i="9" l="1"/>
  <c r="K34" i="9" s="1"/>
  <c r="L34" i="9" s="1"/>
  <c r="AG34" i="9" s="1"/>
  <c r="J99" i="7"/>
  <c r="K99" i="7" s="1"/>
  <c r="L99" i="7" s="1"/>
  <c r="AC99" i="7" s="1"/>
  <c r="J33" i="7"/>
  <c r="K33" i="7" s="1"/>
  <c r="L33" i="7" s="1"/>
  <c r="AB33" i="7" s="1"/>
  <c r="AH34" i="9" l="1"/>
  <c r="AB34" i="9"/>
  <c r="AD34" i="9"/>
  <c r="AI34" i="9"/>
  <c r="AE34" i="9"/>
  <c r="AF34" i="9"/>
  <c r="AC34" i="9"/>
  <c r="AD99" i="7"/>
  <c r="AB99" i="7"/>
  <c r="AH99" i="7"/>
  <c r="AI99" i="7"/>
  <c r="AE99" i="7"/>
  <c r="AF99" i="7"/>
  <c r="AG99" i="7"/>
  <c r="AC33" i="7"/>
  <c r="AF33" i="7"/>
  <c r="AD33" i="7"/>
  <c r="AH33" i="7"/>
  <c r="AG33" i="7"/>
  <c r="AE33" i="7"/>
  <c r="AI33" i="7"/>
  <c r="J35" i="9" l="1"/>
  <c r="K35" i="9" s="1"/>
  <c r="L35" i="9" s="1"/>
  <c r="AG35" i="9" s="1"/>
  <c r="J100" i="7"/>
  <c r="K100" i="7" s="1"/>
  <c r="L100" i="7" s="1"/>
  <c r="AC100" i="7" s="1"/>
  <c r="J34" i="7"/>
  <c r="K34" i="7" s="1"/>
  <c r="L34" i="7" s="1"/>
  <c r="AD35" i="9" l="1"/>
  <c r="AI35" i="9"/>
  <c r="AC35" i="9"/>
  <c r="AE35" i="9"/>
  <c r="AB35" i="9"/>
  <c r="AH35" i="9"/>
  <c r="AF35" i="9"/>
  <c r="AD100" i="7"/>
  <c r="AF100" i="7"/>
  <c r="AI100" i="7"/>
  <c r="AG100" i="7"/>
  <c r="AE100" i="7"/>
  <c r="AB100" i="7"/>
  <c r="AH100" i="7"/>
  <c r="AD34" i="7"/>
  <c r="AB34" i="7"/>
  <c r="AF34" i="7"/>
  <c r="AC34" i="7"/>
  <c r="AE34" i="7"/>
  <c r="AI34" i="7"/>
  <c r="AH34" i="7"/>
  <c r="AG34" i="7"/>
  <c r="J36" i="9" l="1"/>
  <c r="K36" i="9" s="1"/>
  <c r="L36" i="9" s="1"/>
  <c r="AG36" i="9" s="1"/>
  <c r="J35" i="7"/>
  <c r="K35" i="7" s="1"/>
  <c r="L35" i="7" s="1"/>
  <c r="AD35" i="7" s="1"/>
  <c r="AE36" i="9" l="1"/>
  <c r="AF36" i="9"/>
  <c r="AD36" i="9"/>
  <c r="AB36" i="9"/>
  <c r="AI36" i="9"/>
  <c r="AC36" i="9"/>
  <c r="AH36" i="9"/>
  <c r="AB35" i="7"/>
  <c r="AE35" i="7"/>
  <c r="AF35" i="7"/>
  <c r="AH35" i="7"/>
  <c r="AC35" i="7"/>
  <c r="AI35" i="7"/>
  <c r="AG35" i="7"/>
  <c r="J37" i="9" l="1"/>
  <c r="K37" i="9" s="1"/>
  <c r="L37" i="9" s="1"/>
  <c r="AG37" i="9" s="1"/>
  <c r="J36" i="7"/>
  <c r="K36" i="7" s="1"/>
  <c r="L36" i="7" s="1"/>
  <c r="AD36" i="7" s="1"/>
  <c r="AF37" i="9" l="1"/>
  <c r="AD37" i="9"/>
  <c r="AE37" i="9"/>
  <c r="AB37" i="9"/>
  <c r="AC37" i="9"/>
  <c r="AI37" i="9"/>
  <c r="AH37" i="9"/>
  <c r="AE36" i="7"/>
  <c r="AB36" i="7"/>
  <c r="AI36" i="7"/>
  <c r="AC36" i="7"/>
  <c r="AF36" i="7"/>
  <c r="AH36" i="7"/>
  <c r="AG36" i="7"/>
  <c r="J38" i="9" l="1"/>
  <c r="K38" i="9" s="1"/>
  <c r="L38" i="9" s="1"/>
  <c r="AG38" i="9" s="1"/>
  <c r="J37" i="7"/>
  <c r="K37" i="7" s="1"/>
  <c r="L37" i="7" s="1"/>
  <c r="AD37" i="7" s="1"/>
  <c r="AF38" i="9" l="1"/>
  <c r="AD38" i="9"/>
  <c r="AE38" i="9"/>
  <c r="AB38" i="9"/>
  <c r="AI38" i="9"/>
  <c r="AC38" i="9"/>
  <c r="AH38" i="9"/>
  <c r="AE37" i="7"/>
  <c r="AF37" i="7"/>
  <c r="AI37" i="7"/>
  <c r="AH37" i="7"/>
  <c r="AG37" i="7"/>
  <c r="AB37" i="7"/>
  <c r="AC37" i="7"/>
  <c r="J39" i="9" l="1"/>
  <c r="K39" i="9" s="1"/>
  <c r="L39" i="9" s="1"/>
  <c r="AG39" i="9" s="1"/>
  <c r="J38" i="7"/>
  <c r="K38" i="7" s="1"/>
  <c r="L38" i="7" s="1"/>
  <c r="AD38" i="7" s="1"/>
  <c r="AD39" i="9" l="1"/>
  <c r="AB39" i="9"/>
  <c r="AC39" i="9"/>
  <c r="AF39" i="9"/>
  <c r="AE39" i="9"/>
  <c r="AI39" i="9"/>
  <c r="AH39" i="9"/>
  <c r="AB38" i="7"/>
  <c r="AG38" i="7"/>
  <c r="AE38" i="7"/>
  <c r="AF38" i="7"/>
  <c r="AI38" i="7"/>
  <c r="AC38" i="7"/>
  <c r="AH38" i="7"/>
  <c r="J40" i="9" l="1"/>
  <c r="K40" i="9" s="1"/>
  <c r="L40" i="9" s="1"/>
  <c r="AG40" i="9" s="1"/>
  <c r="J39" i="7"/>
  <c r="K39" i="7" s="1"/>
  <c r="L39" i="7" s="1"/>
  <c r="AD39" i="7" s="1"/>
  <c r="AE40" i="9" l="1"/>
  <c r="AB40" i="9"/>
  <c r="AI40" i="9"/>
  <c r="AF40" i="9"/>
  <c r="AC40" i="9"/>
  <c r="AD40" i="9"/>
  <c r="AH40" i="9"/>
  <c r="AG39" i="7"/>
  <c r="AC39" i="7"/>
  <c r="AB39" i="7"/>
  <c r="AF39" i="7"/>
  <c r="AH39" i="7"/>
  <c r="AI39" i="7"/>
  <c r="AE39" i="7"/>
  <c r="J41" i="9" l="1"/>
  <c r="K41" i="9" s="1"/>
  <c r="L41" i="9" s="1"/>
  <c r="AG41" i="9" s="1"/>
  <c r="J40" i="7"/>
  <c r="K40" i="7" s="1"/>
  <c r="L40" i="7" s="1"/>
  <c r="AD40" i="7" s="1"/>
  <c r="AC41" i="9" l="1"/>
  <c r="AB41" i="9"/>
  <c r="AF41" i="9"/>
  <c r="AH41" i="9"/>
  <c r="AI41" i="9"/>
  <c r="AE41" i="9"/>
  <c r="AD41" i="9"/>
  <c r="AB40" i="7"/>
  <c r="AH40" i="7"/>
  <c r="AI40" i="7"/>
  <c r="AG40" i="7"/>
  <c r="AC40" i="7"/>
  <c r="AF40" i="7"/>
  <c r="AE40" i="7"/>
  <c r="J2" i="8"/>
  <c r="J42" i="9" l="1"/>
  <c r="K42" i="9" s="1"/>
  <c r="L42" i="9" s="1"/>
  <c r="AG42" i="9" s="1"/>
  <c r="K2" i="8"/>
  <c r="L2" i="8" s="1"/>
  <c r="N2" i="8" s="1"/>
  <c r="AH42" i="9" l="1"/>
  <c r="AI42" i="9"/>
  <c r="AB42" i="9"/>
  <c r="AE42" i="9"/>
  <c r="AF42" i="9"/>
  <c r="AC42" i="9"/>
  <c r="AD42" i="9"/>
  <c r="J43" i="9" l="1"/>
  <c r="K43" i="9" s="1"/>
  <c r="L43" i="9" s="1"/>
  <c r="AG43" i="9" s="1"/>
  <c r="AD43" i="9" l="1"/>
  <c r="AB43" i="9"/>
  <c r="AH43" i="9"/>
  <c r="AF43" i="9"/>
  <c r="AC43" i="9"/>
  <c r="AI43" i="9"/>
  <c r="AE43" i="9"/>
  <c r="J44" i="9" l="1"/>
  <c r="K44" i="9" s="1"/>
  <c r="L44" i="9" s="1"/>
  <c r="AG44" i="9" s="1"/>
  <c r="AE44" i="9" l="1"/>
  <c r="AB44" i="9"/>
  <c r="AF44" i="9"/>
  <c r="AC44" i="9"/>
  <c r="AH44" i="9"/>
  <c r="AD44" i="9"/>
  <c r="AI44" i="9"/>
  <c r="J45" i="9" l="1"/>
  <c r="K45" i="9" s="1"/>
  <c r="L45" i="9" s="1"/>
  <c r="AG45" i="9" s="1"/>
  <c r="AC45" i="9" l="1"/>
  <c r="AB45" i="9"/>
  <c r="AI45" i="9"/>
  <c r="AH45" i="9"/>
  <c r="AF45" i="9"/>
  <c r="AE45" i="9"/>
  <c r="AD45" i="9"/>
  <c r="J46" i="9" l="1"/>
  <c r="K46" i="9" s="1"/>
  <c r="L46" i="9" s="1"/>
  <c r="AG46" i="9" s="1"/>
  <c r="AH46" i="9" l="1"/>
  <c r="AB46" i="9"/>
  <c r="AC46" i="9"/>
  <c r="AF46" i="9"/>
  <c r="AI46" i="9"/>
  <c r="AD46" i="9"/>
  <c r="AE46" i="9"/>
  <c r="J47" i="9" l="1"/>
  <c r="K47" i="9" s="1"/>
  <c r="L47" i="9" s="1"/>
  <c r="AG47" i="9" s="1"/>
  <c r="AF47" i="9" l="1"/>
  <c r="AI47" i="9"/>
  <c r="AD47" i="9"/>
  <c r="AB47" i="9"/>
  <c r="AE47" i="9"/>
  <c r="AH47" i="9"/>
  <c r="AC47" i="9"/>
  <c r="J48" i="9" l="1"/>
  <c r="K48" i="9" s="1"/>
  <c r="L48" i="9" s="1"/>
  <c r="AG48" i="9" s="1"/>
  <c r="AC48" i="9" l="1"/>
  <c r="AB48" i="9"/>
  <c r="AF48" i="9"/>
  <c r="AE48" i="9"/>
  <c r="AI48" i="9"/>
  <c r="AH48" i="9"/>
  <c r="AD48" i="9"/>
  <c r="J49" i="9" l="1"/>
  <c r="K49" i="9" s="1"/>
  <c r="L49" i="9" s="1"/>
  <c r="AG49" i="9" s="1"/>
  <c r="AC49" i="9" l="1"/>
  <c r="AH49" i="9"/>
  <c r="AB49" i="9"/>
  <c r="AE49" i="9"/>
  <c r="AI49" i="9"/>
  <c r="AD49" i="9"/>
  <c r="AF49" i="9"/>
  <c r="J50" i="9" l="1"/>
  <c r="K50" i="9" s="1"/>
  <c r="L50" i="9" s="1"/>
  <c r="AG50" i="9" s="1"/>
  <c r="AE50" i="9" l="1"/>
  <c r="AB50" i="9"/>
  <c r="AI50" i="9"/>
  <c r="AC50" i="9"/>
  <c r="AD50" i="9"/>
  <c r="AH50" i="9"/>
  <c r="AF50" i="9"/>
  <c r="J51" i="9" l="1"/>
  <c r="K51" i="9" s="1"/>
  <c r="L51" i="9" s="1"/>
  <c r="AG51" i="9" s="1"/>
  <c r="AE51" i="9" l="1"/>
  <c r="AD51" i="9"/>
  <c r="AB51" i="9"/>
  <c r="AF51" i="9"/>
  <c r="AH51" i="9"/>
  <c r="AC51" i="9"/>
  <c r="AI51" i="9"/>
</calcChain>
</file>

<file path=xl/sharedStrings.xml><?xml version="1.0" encoding="utf-8"?>
<sst xmlns="http://schemas.openxmlformats.org/spreadsheetml/2006/main" count="98" uniqueCount="77">
  <si>
    <t>X1</t>
  </si>
  <si>
    <t>X2</t>
  </si>
  <si>
    <t>X3</t>
  </si>
  <si>
    <t>X4</t>
  </si>
  <si>
    <t>X5</t>
  </si>
  <si>
    <t>X6</t>
  </si>
  <si>
    <t>X7</t>
  </si>
  <si>
    <t>erro</t>
  </si>
  <si>
    <t>saída</t>
  </si>
  <si>
    <t>W1</t>
  </si>
  <si>
    <t>W2</t>
  </si>
  <si>
    <t>W3</t>
  </si>
  <si>
    <t>W4</t>
  </si>
  <si>
    <t>W5</t>
  </si>
  <si>
    <t>W6</t>
  </si>
  <si>
    <t>W7</t>
  </si>
  <si>
    <t>bias</t>
  </si>
  <si>
    <t>nw1</t>
  </si>
  <si>
    <t>nw2</t>
  </si>
  <si>
    <t>nw3</t>
  </si>
  <si>
    <t>nw4</t>
  </si>
  <si>
    <t>nw5</t>
  </si>
  <si>
    <t>nw6</t>
  </si>
  <si>
    <t>nw7</t>
  </si>
  <si>
    <t>RU 5282467</t>
  </si>
  <si>
    <t>x1</t>
  </si>
  <si>
    <t>x2</t>
  </si>
  <si>
    <t>x3</t>
  </si>
  <si>
    <t>x4</t>
  </si>
  <si>
    <t>x5</t>
  </si>
  <si>
    <t>x6</t>
  </si>
  <si>
    <t>x7</t>
  </si>
  <si>
    <t>sp</t>
  </si>
  <si>
    <t>w1</t>
  </si>
  <si>
    <t>w2</t>
  </si>
  <si>
    <t>w3</t>
  </si>
  <si>
    <t>w4</t>
  </si>
  <si>
    <t>w5</t>
  </si>
  <si>
    <t>w6</t>
  </si>
  <si>
    <t>w7</t>
  </si>
  <si>
    <t>ERRO</t>
  </si>
  <si>
    <t>RU</t>
  </si>
  <si>
    <t>Desejada</t>
  </si>
  <si>
    <t>Soma</t>
  </si>
  <si>
    <t>Saída</t>
  </si>
  <si>
    <t>Erro</t>
  </si>
  <si>
    <t>nBias</t>
  </si>
  <si>
    <t>Soma P</t>
  </si>
  <si>
    <t>Acertividade (%)</t>
  </si>
  <si>
    <t>acertividade treinamento 1</t>
  </si>
  <si>
    <t>acertividade treinamento 2</t>
  </si>
  <si>
    <t>CONCLUSÃO</t>
  </si>
  <si>
    <t>Objetivo do projeto</t>
  </si>
  <si>
    <t>O objetivo desse trabalho foi treinar um neurônio simples (perceptron)</t>
  </si>
  <si>
    <t>para reconhecer o RU 5282467. A proposta era classificar entradas como</t>
  </si>
  <si>
    <t>1 quando o RU fosse maior ou igual ao valor de referência, e -1 quando</t>
  </si>
  <si>
    <t>fosse menor.</t>
  </si>
  <si>
    <t>Metodologia</t>
  </si>
  <si>
    <t>aprendizagem de 0,1. Os pesos e o bias foram ajustados linha a linha</t>
  </si>
  <si>
    <t>com base no erro entre a saída desejada e a saída do neurônio.</t>
  </si>
  <si>
    <t>O processo foi realizado por época, com encadeamento dos pesos</t>
  </si>
  <si>
    <t>para simular aprendizado sequencial.</t>
  </si>
  <si>
    <t>Resultados</t>
  </si>
  <si>
    <t>Após o treinamento, o neurônio apresentou uma taxa de acerto de 85,7%</t>
  </si>
  <si>
    <t>na validação com RUs não vistos anteriormente. Os pesos e bias finais</t>
  </si>
  <si>
    <t>foram extraídos da última linhada época de treinamento e utilizados</t>
  </si>
  <si>
    <t>para testes. O modelo demonstrou capacidade de generalização, embora</t>
  </si>
  <si>
    <t>tenha apresentado dificuldade em reconhecer o RU original em algumas</t>
  </si>
  <si>
    <t>fases intermediárias.</t>
  </si>
  <si>
    <t>Conclusão</t>
  </si>
  <si>
    <t>O neurônio treinado foi capaz de aprender a tarefa proposta com boa</t>
  </si>
  <si>
    <t xml:space="preserve">eficiência. A estrutura do modelo, o processo de treinamento e a </t>
  </si>
  <si>
    <t>validação foram conduzidos com rigor técnico. Para aprimoramento,</t>
  </si>
  <si>
    <t>recomenda-se treinar com mais épocas, reforçar o RU original no</t>
  </si>
  <si>
    <t>conjunto de treino e testar com Rus extremos para garantir robustez.</t>
  </si>
  <si>
    <t xml:space="preserve">O treinamento foi realizado utilizando a regra delta com taxa de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</si>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</sst>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7" borderId="0" xfId="0" applyFill="1"/>
    <xf numFmtId="0" fontId="3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left"/>
    </xf>
  </cellXfs>
  <cellStyles count="1">
    <cellStyle name="Normal" xfId="0" builtinId="0"/>
  </cellStyles>
  <dxfs count="1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9B9B"/>
      <color rgb="FFFF8585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N20"/>
  <sheetViews>
    <sheetView workbookViewId="0">
      <selection activeCell="P14" sqref="P14"/>
    </sheetView>
  </sheetViews>
  <sheetFormatPr defaultRowHeight="15" x14ac:dyDescent="0.25"/>
  <sheetData>
    <row r="3" spans="5:14" ht="26.25" x14ac:dyDescent="0.4">
      <c r="H3" s="10" t="s">
        <v>24</v>
      </c>
      <c r="I3" s="10"/>
      <c r="J3" s="10"/>
      <c r="K3" s="10"/>
      <c r="L3" s="10"/>
    </row>
    <row r="8" spans="5:14" x14ac:dyDescent="0.25">
      <c r="E8" s="5" t="s">
        <v>0</v>
      </c>
      <c r="F8" s="1">
        <v>5</v>
      </c>
      <c r="G8" s="2"/>
      <c r="H8" s="8" t="s">
        <v>9</v>
      </c>
      <c r="I8" s="3">
        <v>8.1999999999999993</v>
      </c>
      <c r="J8" s="3"/>
      <c r="K8" s="2"/>
      <c r="L8" s="2"/>
      <c r="M8" s="2"/>
      <c r="N8" s="2"/>
    </row>
    <row r="9" spans="5:14" x14ac:dyDescent="0.25">
      <c r="E9" s="5"/>
      <c r="F9" s="2"/>
      <c r="G9" s="2"/>
      <c r="H9" s="8"/>
      <c r="I9" s="3"/>
      <c r="J9" s="3"/>
      <c r="K9" s="2"/>
      <c r="L9" s="2"/>
      <c r="M9" s="2"/>
      <c r="N9" s="2"/>
    </row>
    <row r="10" spans="5:14" x14ac:dyDescent="0.25">
      <c r="E10" s="5" t="s">
        <v>1</v>
      </c>
      <c r="F10" s="1">
        <v>2</v>
      </c>
      <c r="G10" s="2"/>
      <c r="H10" s="8" t="s">
        <v>10</v>
      </c>
      <c r="I10" s="3">
        <v>0.2</v>
      </c>
      <c r="J10" s="3"/>
      <c r="K10" s="3"/>
      <c r="L10" s="3"/>
      <c r="M10" s="2"/>
      <c r="N10" s="2"/>
    </row>
    <row r="11" spans="5:14" x14ac:dyDescent="0.25">
      <c r="E11" s="5"/>
      <c r="F11" s="2"/>
      <c r="G11" s="2"/>
      <c r="H11" s="8"/>
      <c r="I11" s="3"/>
      <c r="J11" s="3"/>
      <c r="K11" s="3"/>
      <c r="L11" s="3"/>
      <c r="M11" s="2"/>
      <c r="N11" s="2"/>
    </row>
    <row r="12" spans="5:14" x14ac:dyDescent="0.25">
      <c r="E12" s="5" t="s">
        <v>2</v>
      </c>
      <c r="F12" s="1">
        <v>8</v>
      </c>
      <c r="G12" s="2"/>
      <c r="H12" s="8" t="s">
        <v>11</v>
      </c>
      <c r="I12" s="3">
        <v>2.2000000000000002</v>
      </c>
      <c r="J12" s="3"/>
      <c r="K12" s="3"/>
      <c r="L12" s="3"/>
      <c r="M12" s="2"/>
      <c r="N12" s="2"/>
    </row>
    <row r="13" spans="5:14" x14ac:dyDescent="0.25">
      <c r="E13" s="5"/>
      <c r="F13" s="2"/>
      <c r="G13" s="2"/>
      <c r="H13" s="8"/>
      <c r="I13" s="3"/>
      <c r="J13" s="3"/>
      <c r="K13" s="3"/>
      <c r="L13" s="8" t="s">
        <v>16</v>
      </c>
      <c r="M13" s="5" t="s">
        <v>32</v>
      </c>
      <c r="N13" s="5" t="s">
        <v>8</v>
      </c>
    </row>
    <row r="14" spans="5:14" x14ac:dyDescent="0.25">
      <c r="E14" s="5" t="s">
        <v>3</v>
      </c>
      <c r="F14" s="1">
        <v>2</v>
      </c>
      <c r="G14" s="2"/>
      <c r="H14" s="8" t="s">
        <v>12</v>
      </c>
      <c r="I14" s="3">
        <v>-1.4</v>
      </c>
      <c r="J14" s="3"/>
      <c r="K14" s="3"/>
      <c r="L14" s="3">
        <v>0.8</v>
      </c>
      <c r="M14" s="7">
        <f>F8*I8+F10*I10+F12*I12+F14*I14+F16*I16+F18*I18+F20*I20+L14</f>
        <v>42.400000000000006</v>
      </c>
      <c r="N14" s="7">
        <f>IF(M14&gt;=35,1,-1)</f>
        <v>1</v>
      </c>
    </row>
    <row r="15" spans="5:14" x14ac:dyDescent="0.25">
      <c r="E15" s="5"/>
      <c r="F15" s="2"/>
      <c r="G15" s="2"/>
      <c r="H15" s="8"/>
      <c r="I15" s="3"/>
      <c r="J15" s="3"/>
      <c r="K15" s="3"/>
      <c r="L15" s="3"/>
      <c r="M15" s="2"/>
      <c r="N15" s="2"/>
    </row>
    <row r="16" spans="5:14" x14ac:dyDescent="0.25">
      <c r="E16" s="5" t="s">
        <v>4</v>
      </c>
      <c r="F16" s="1">
        <v>4</v>
      </c>
      <c r="G16" s="2"/>
      <c r="H16" s="8" t="s">
        <v>13</v>
      </c>
      <c r="I16" s="3">
        <v>-1.2</v>
      </c>
      <c r="J16" s="3"/>
      <c r="K16" s="3"/>
      <c r="L16" s="3"/>
      <c r="M16" s="2"/>
      <c r="N16" s="2"/>
    </row>
    <row r="17" spans="5:14" x14ac:dyDescent="0.25">
      <c r="E17" s="5"/>
      <c r="F17" s="2"/>
      <c r="G17" s="2"/>
      <c r="H17" s="8"/>
      <c r="I17" s="3"/>
      <c r="J17" s="3"/>
      <c r="K17" s="3"/>
      <c r="L17" s="3"/>
      <c r="M17" s="2"/>
      <c r="N17" s="2"/>
    </row>
    <row r="18" spans="5:14" x14ac:dyDescent="0.25">
      <c r="E18" s="5" t="s">
        <v>5</v>
      </c>
      <c r="F18" s="1">
        <v>6</v>
      </c>
      <c r="G18" s="2"/>
      <c r="H18" s="8" t="s">
        <v>14</v>
      </c>
      <c r="I18" s="3">
        <v>-1.4</v>
      </c>
      <c r="J18" s="3"/>
      <c r="K18" s="3"/>
      <c r="L18" s="3"/>
      <c r="M18" s="2"/>
      <c r="N18" s="2"/>
    </row>
    <row r="19" spans="5:14" x14ac:dyDescent="0.25">
      <c r="E19" s="5"/>
      <c r="F19" s="2"/>
      <c r="G19" s="2"/>
      <c r="H19" s="8"/>
      <c r="I19" s="3"/>
      <c r="J19" s="3"/>
      <c r="K19" s="2"/>
      <c r="L19" s="2"/>
      <c r="M19" s="2"/>
      <c r="N19" s="2"/>
    </row>
    <row r="20" spans="5:14" x14ac:dyDescent="0.25">
      <c r="E20" s="5" t="s">
        <v>6</v>
      </c>
      <c r="F20" s="1">
        <v>7</v>
      </c>
      <c r="G20" s="2"/>
      <c r="H20" s="8" t="s">
        <v>15</v>
      </c>
      <c r="I20" s="3">
        <v>-0.2</v>
      </c>
      <c r="J20" s="3"/>
      <c r="K20" s="2"/>
      <c r="L20" s="2"/>
      <c r="M20" s="2"/>
      <c r="N20" s="2"/>
    </row>
  </sheetData>
  <mergeCells count="1">
    <mergeCell ref="H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"/>
  <sheetViews>
    <sheetView topLeftCell="A72" zoomScale="80" zoomScaleNormal="80" workbookViewId="0">
      <selection activeCell="Y15" sqref="Y15"/>
    </sheetView>
  </sheetViews>
  <sheetFormatPr defaultRowHeight="15" x14ac:dyDescent="0.25"/>
  <cols>
    <col min="12" max="12" width="9.140625" style="14"/>
  </cols>
  <sheetData>
    <row r="1" spans="1:35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41</v>
      </c>
      <c r="I1" s="6" t="s">
        <v>42</v>
      </c>
      <c r="J1" s="6" t="s">
        <v>43</v>
      </c>
      <c r="K1" s="6" t="s">
        <v>44</v>
      </c>
      <c r="L1" s="11" t="s">
        <v>45</v>
      </c>
      <c r="Z1" s="13" t="s">
        <v>33</v>
      </c>
      <c r="AA1" s="2">
        <v>1</v>
      </c>
      <c r="AB1" s="6" t="s">
        <v>17</v>
      </c>
      <c r="AC1" s="6" t="s">
        <v>18</v>
      </c>
      <c r="AD1" s="6" t="s">
        <v>19</v>
      </c>
      <c r="AE1" s="6" t="s">
        <v>20</v>
      </c>
      <c r="AF1" s="6" t="s">
        <v>21</v>
      </c>
      <c r="AG1" s="6" t="s">
        <v>22</v>
      </c>
      <c r="AH1" s="6" t="s">
        <v>23</v>
      </c>
      <c r="AI1" s="6" t="s">
        <v>46</v>
      </c>
    </row>
    <row r="2" spans="1:35" x14ac:dyDescent="0.25">
      <c r="A2" s="2">
        <v>5</v>
      </c>
      <c r="B2" s="2">
        <v>2</v>
      </c>
      <c r="C2" s="2">
        <v>8</v>
      </c>
      <c r="D2" s="2">
        <v>2</v>
      </c>
      <c r="E2" s="2">
        <v>4</v>
      </c>
      <c r="F2" s="2">
        <v>6</v>
      </c>
      <c r="G2" s="2">
        <v>7</v>
      </c>
      <c r="H2" s="2">
        <f>VALUE(A2&amp;B2&amp;C2&amp;D2&amp;E2&amp;F2&amp;G2)</f>
        <v>5282467</v>
      </c>
      <c r="I2" s="2">
        <f>IF(H2 &gt;= 5282467, 1, -1)</f>
        <v>1</v>
      </c>
      <c r="J2" s="2">
        <f>A2*$AA$1 + B2*$AA$2 + C2*$AA$3 + D2*$AA$4 + E2*$AA$5 + F2*$AA$6 + G2*$AA$7</f>
        <v>34</v>
      </c>
      <c r="K2" s="2">
        <f>IF(J2 + $AA$8 &gt;= 35, 1, -1)</f>
        <v>1</v>
      </c>
      <c r="L2" s="12">
        <f>I2 - K2</f>
        <v>0</v>
      </c>
      <c r="Z2" s="13" t="s">
        <v>34</v>
      </c>
      <c r="AA2" s="2">
        <v>1</v>
      </c>
      <c r="AB2" s="2">
        <f>$AA$1 + 0.1 * L2 * A2</f>
        <v>1</v>
      </c>
      <c r="AC2" s="2">
        <f>$AA$2 + 0.1 * L2 * B2</f>
        <v>1</v>
      </c>
      <c r="AD2" s="2">
        <f>$AA$3 + 0.1 * L2 * C2</f>
        <v>1</v>
      </c>
      <c r="AE2" s="2">
        <f>$AA$4 + 0.1 * L2 * D2</f>
        <v>1</v>
      </c>
      <c r="AF2" s="2">
        <f>$AA$5 + 0.1 * L2 * E2</f>
        <v>1</v>
      </c>
      <c r="AG2" s="2">
        <f>$AA$6 + 0.1 * L2 * F2</f>
        <v>1</v>
      </c>
      <c r="AH2" s="2">
        <f>$AA$7 + 0.1 * L2 * G2</f>
        <v>1</v>
      </c>
      <c r="AI2" s="2">
        <f>$AA$8 + 0.1 * L2</f>
        <v>1</v>
      </c>
    </row>
    <row r="3" spans="1:35" x14ac:dyDescent="0.25">
      <c r="A3" s="2">
        <v>4</v>
      </c>
      <c r="B3" s="2">
        <v>2</v>
      </c>
      <c r="C3" s="2">
        <v>8</v>
      </c>
      <c r="D3" s="2">
        <v>2</v>
      </c>
      <c r="E3" s="2">
        <v>4</v>
      </c>
      <c r="F3" s="2">
        <v>6</v>
      </c>
      <c r="G3" s="2">
        <v>7</v>
      </c>
      <c r="H3" s="2">
        <f t="shared" ref="H3:H100" si="0">VALUE(A3&amp;B3&amp;C3&amp;D3&amp;E3&amp;F3&amp;G3)</f>
        <v>4282467</v>
      </c>
      <c r="I3" s="2">
        <f t="shared" ref="I3:I68" si="1">IF(H3 &gt;= 5282467, 1, -1)</f>
        <v>-1</v>
      </c>
      <c r="J3" s="2">
        <f t="shared" ref="J3:J20" si="2">A3*AB2+B3*AC2+C3*AD2+D3*AE2+E3*AF2+F3*AG2+G3*AH2</f>
        <v>33</v>
      </c>
      <c r="K3" s="2">
        <f t="shared" ref="K3:K20" si="3">IF(J3 +AI2 &gt;= 35, 1, -1)</f>
        <v>-1</v>
      </c>
      <c r="L3" s="12">
        <f t="shared" ref="L3:L61" si="4">I3 - K3</f>
        <v>0</v>
      </c>
      <c r="N3" s="16" t="s">
        <v>49</v>
      </c>
      <c r="O3" s="16"/>
      <c r="P3" s="16"/>
      <c r="Z3" s="13" t="s">
        <v>35</v>
      </c>
      <c r="AA3" s="2">
        <v>1</v>
      </c>
      <c r="AB3" s="2">
        <f t="shared" ref="AB3:AB19" si="5">AB2+0.1*L3*A3</f>
        <v>1</v>
      </c>
      <c r="AC3" s="2">
        <f t="shared" ref="AC3:AC19" si="6">AC2 + 0.1 * L3 * B3</f>
        <v>1</v>
      </c>
      <c r="AD3" s="2">
        <f t="shared" ref="AD3:AD19" si="7">AD2 + 0.1 * L3 * C3</f>
        <v>1</v>
      </c>
      <c r="AE3" s="2">
        <f t="shared" ref="AE3:AE19" si="8">AE2 + 0.1 * L3 * D3</f>
        <v>1</v>
      </c>
      <c r="AF3" s="2">
        <f t="shared" ref="AF3:AF19" si="9">AF2 + 0.1 * L3 * E3</f>
        <v>1</v>
      </c>
      <c r="AG3" s="2">
        <f t="shared" ref="AG3:AG19" si="10">AG2 + 0.1 * L3 * F3</f>
        <v>1</v>
      </c>
      <c r="AH3" s="2">
        <f t="shared" ref="AH3:AH19" si="11">AH2 + 0.1 * L3 * G3</f>
        <v>1</v>
      </c>
      <c r="AI3" s="2">
        <f t="shared" ref="AI3:AI19" si="12">AI2 + 0.1 * L3</f>
        <v>1</v>
      </c>
    </row>
    <row r="4" spans="1:35" x14ac:dyDescent="0.25">
      <c r="A4" s="2">
        <v>3</v>
      </c>
      <c r="B4" s="2">
        <v>2</v>
      </c>
      <c r="C4" s="2">
        <v>8</v>
      </c>
      <c r="D4" s="2">
        <v>2</v>
      </c>
      <c r="E4" s="2">
        <v>4</v>
      </c>
      <c r="F4" s="2">
        <v>6</v>
      </c>
      <c r="G4" s="2">
        <v>7</v>
      </c>
      <c r="H4" s="2">
        <f t="shared" si="0"/>
        <v>3282467</v>
      </c>
      <c r="I4" s="2">
        <f t="shared" si="1"/>
        <v>-1</v>
      </c>
      <c r="J4" s="2">
        <f t="shared" si="2"/>
        <v>32</v>
      </c>
      <c r="K4" s="2">
        <f t="shared" si="3"/>
        <v>-1</v>
      </c>
      <c r="L4" s="12">
        <f t="shared" si="4"/>
        <v>0</v>
      </c>
      <c r="N4" s="9">
        <f>COUNTIF(L2:L100, 0)/COUNTA(L2:L100)*100</f>
        <v>80.808080808080803</v>
      </c>
      <c r="O4" s="9"/>
      <c r="P4" s="9"/>
      <c r="Z4" s="13" t="s">
        <v>36</v>
      </c>
      <c r="AA4" s="2">
        <v>1</v>
      </c>
      <c r="AB4" s="2">
        <f t="shared" si="5"/>
        <v>1</v>
      </c>
      <c r="AC4" s="2">
        <f t="shared" si="6"/>
        <v>1</v>
      </c>
      <c r="AD4" s="2">
        <f t="shared" si="7"/>
        <v>1</v>
      </c>
      <c r="AE4" s="2">
        <f t="shared" si="8"/>
        <v>1</v>
      </c>
      <c r="AF4" s="2">
        <f t="shared" si="9"/>
        <v>1</v>
      </c>
      <c r="AG4" s="2">
        <f t="shared" si="10"/>
        <v>1</v>
      </c>
      <c r="AH4" s="2">
        <f t="shared" si="11"/>
        <v>1</v>
      </c>
      <c r="AI4" s="2">
        <f t="shared" si="12"/>
        <v>1</v>
      </c>
    </row>
    <row r="5" spans="1:35" x14ac:dyDescent="0.25">
      <c r="A5" s="2">
        <v>2</v>
      </c>
      <c r="B5" s="2">
        <v>2</v>
      </c>
      <c r="C5" s="2">
        <v>8</v>
      </c>
      <c r="D5" s="2">
        <v>2</v>
      </c>
      <c r="E5" s="2">
        <v>4</v>
      </c>
      <c r="F5" s="2">
        <v>6</v>
      </c>
      <c r="G5" s="2">
        <v>7</v>
      </c>
      <c r="H5" s="2">
        <f t="shared" si="0"/>
        <v>2282467</v>
      </c>
      <c r="I5" s="2">
        <f t="shared" si="1"/>
        <v>-1</v>
      </c>
      <c r="J5" s="2">
        <f t="shared" si="2"/>
        <v>31</v>
      </c>
      <c r="K5" s="2">
        <f t="shared" si="3"/>
        <v>-1</v>
      </c>
      <c r="L5" s="12">
        <f t="shared" si="4"/>
        <v>0</v>
      </c>
      <c r="Z5" s="13" t="s">
        <v>37</v>
      </c>
      <c r="AA5" s="2">
        <v>1</v>
      </c>
      <c r="AB5" s="2">
        <f t="shared" si="5"/>
        <v>1</v>
      </c>
      <c r="AC5" s="2">
        <f t="shared" si="6"/>
        <v>1</v>
      </c>
      <c r="AD5" s="2">
        <f t="shared" si="7"/>
        <v>1</v>
      </c>
      <c r="AE5" s="2">
        <f t="shared" si="8"/>
        <v>1</v>
      </c>
      <c r="AF5" s="2">
        <f t="shared" si="9"/>
        <v>1</v>
      </c>
      <c r="AG5" s="2">
        <f t="shared" si="10"/>
        <v>1</v>
      </c>
      <c r="AH5" s="2">
        <f t="shared" si="11"/>
        <v>1</v>
      </c>
      <c r="AI5" s="2">
        <f t="shared" si="12"/>
        <v>1</v>
      </c>
    </row>
    <row r="6" spans="1:35" x14ac:dyDescent="0.25">
      <c r="A6" s="2">
        <v>1</v>
      </c>
      <c r="B6" s="2">
        <v>2</v>
      </c>
      <c r="C6" s="2">
        <v>8</v>
      </c>
      <c r="D6" s="2">
        <v>2</v>
      </c>
      <c r="E6" s="2">
        <v>4</v>
      </c>
      <c r="F6" s="2">
        <v>6</v>
      </c>
      <c r="G6" s="2">
        <v>7</v>
      </c>
      <c r="H6" s="2">
        <f t="shared" si="0"/>
        <v>1282467</v>
      </c>
      <c r="I6" s="2">
        <f t="shared" si="1"/>
        <v>-1</v>
      </c>
      <c r="J6" s="2">
        <f t="shared" si="2"/>
        <v>30</v>
      </c>
      <c r="K6" s="2">
        <f t="shared" si="3"/>
        <v>-1</v>
      </c>
      <c r="L6" s="12">
        <f t="shared" si="4"/>
        <v>0</v>
      </c>
      <c r="Z6" s="13" t="s">
        <v>38</v>
      </c>
      <c r="AA6" s="2">
        <v>1</v>
      </c>
      <c r="AB6" s="2">
        <f t="shared" si="5"/>
        <v>1</v>
      </c>
      <c r="AC6" s="2">
        <f t="shared" si="6"/>
        <v>1</v>
      </c>
      <c r="AD6" s="2">
        <f t="shared" si="7"/>
        <v>1</v>
      </c>
      <c r="AE6" s="2">
        <f t="shared" si="8"/>
        <v>1</v>
      </c>
      <c r="AF6" s="2">
        <f t="shared" si="9"/>
        <v>1</v>
      </c>
      <c r="AG6" s="2">
        <f t="shared" si="10"/>
        <v>1</v>
      </c>
      <c r="AH6" s="2">
        <f t="shared" si="11"/>
        <v>1</v>
      </c>
      <c r="AI6" s="2">
        <f t="shared" si="12"/>
        <v>1</v>
      </c>
    </row>
    <row r="7" spans="1:35" x14ac:dyDescent="0.25">
      <c r="A7" s="2">
        <v>0</v>
      </c>
      <c r="B7" s="2">
        <v>2</v>
      </c>
      <c r="C7" s="2">
        <v>8</v>
      </c>
      <c r="D7" s="2">
        <v>2</v>
      </c>
      <c r="E7" s="2">
        <v>4</v>
      </c>
      <c r="F7" s="2">
        <v>6</v>
      </c>
      <c r="G7" s="2">
        <v>7</v>
      </c>
      <c r="H7" s="2">
        <f t="shared" si="0"/>
        <v>282467</v>
      </c>
      <c r="I7" s="2">
        <f t="shared" si="1"/>
        <v>-1</v>
      </c>
      <c r="J7" s="2">
        <f t="shared" si="2"/>
        <v>29</v>
      </c>
      <c r="K7" s="2">
        <f t="shared" si="3"/>
        <v>-1</v>
      </c>
      <c r="L7" s="12">
        <f t="shared" si="4"/>
        <v>0</v>
      </c>
      <c r="Z7" s="13" t="s">
        <v>39</v>
      </c>
      <c r="AA7" s="2">
        <v>1</v>
      </c>
      <c r="AB7" s="2">
        <f t="shared" si="5"/>
        <v>1</v>
      </c>
      <c r="AC7" s="2">
        <f t="shared" si="6"/>
        <v>1</v>
      </c>
      <c r="AD7" s="2">
        <f t="shared" si="7"/>
        <v>1</v>
      </c>
      <c r="AE7" s="2">
        <f t="shared" si="8"/>
        <v>1</v>
      </c>
      <c r="AF7" s="2">
        <f t="shared" si="9"/>
        <v>1</v>
      </c>
      <c r="AG7" s="2">
        <f t="shared" si="10"/>
        <v>1</v>
      </c>
      <c r="AH7" s="2">
        <f t="shared" si="11"/>
        <v>1</v>
      </c>
      <c r="AI7" s="2">
        <f t="shared" si="12"/>
        <v>1</v>
      </c>
    </row>
    <row r="8" spans="1:35" x14ac:dyDescent="0.25">
      <c r="A8" s="2">
        <v>5</v>
      </c>
      <c r="B8" s="2">
        <v>1</v>
      </c>
      <c r="C8" s="2">
        <v>8</v>
      </c>
      <c r="D8" s="2">
        <v>2</v>
      </c>
      <c r="E8" s="2">
        <v>4</v>
      </c>
      <c r="F8" s="2">
        <v>6</v>
      </c>
      <c r="G8" s="2">
        <v>7</v>
      </c>
      <c r="H8" s="2">
        <f t="shared" si="0"/>
        <v>5182467</v>
      </c>
      <c r="I8" s="2">
        <f t="shared" si="1"/>
        <v>-1</v>
      </c>
      <c r="J8" s="2">
        <f t="shared" si="2"/>
        <v>33</v>
      </c>
      <c r="K8" s="2">
        <f t="shared" si="3"/>
        <v>-1</v>
      </c>
      <c r="L8" s="12">
        <f t="shared" si="4"/>
        <v>0</v>
      </c>
      <c r="Z8" s="13" t="s">
        <v>76</v>
      </c>
      <c r="AA8" s="2">
        <v>1</v>
      </c>
      <c r="AB8" s="2">
        <f t="shared" si="5"/>
        <v>1</v>
      </c>
      <c r="AC8" s="2">
        <f t="shared" si="6"/>
        <v>1</v>
      </c>
      <c r="AD8" s="2">
        <f t="shared" si="7"/>
        <v>1</v>
      </c>
      <c r="AE8" s="2">
        <f t="shared" si="8"/>
        <v>1</v>
      </c>
      <c r="AF8" s="2">
        <f t="shared" si="9"/>
        <v>1</v>
      </c>
      <c r="AG8" s="2">
        <f t="shared" si="10"/>
        <v>1</v>
      </c>
      <c r="AH8" s="2">
        <f t="shared" si="11"/>
        <v>1</v>
      </c>
      <c r="AI8" s="2">
        <f t="shared" si="12"/>
        <v>1</v>
      </c>
    </row>
    <row r="9" spans="1:35" x14ac:dyDescent="0.25">
      <c r="A9" s="2">
        <v>5</v>
      </c>
      <c r="B9" s="2">
        <v>0</v>
      </c>
      <c r="C9" s="2">
        <v>8</v>
      </c>
      <c r="D9" s="2">
        <v>2</v>
      </c>
      <c r="E9" s="2">
        <v>4</v>
      </c>
      <c r="F9" s="2">
        <v>6</v>
      </c>
      <c r="G9" s="2">
        <v>7</v>
      </c>
      <c r="H9" s="2">
        <f t="shared" si="0"/>
        <v>5082467</v>
      </c>
      <c r="I9" s="2">
        <f t="shared" si="1"/>
        <v>-1</v>
      </c>
      <c r="J9" s="2">
        <f t="shared" si="2"/>
        <v>32</v>
      </c>
      <c r="K9" s="2">
        <f t="shared" si="3"/>
        <v>-1</v>
      </c>
      <c r="L9" s="12">
        <f t="shared" si="4"/>
        <v>0</v>
      </c>
      <c r="AB9" s="2">
        <f t="shared" si="5"/>
        <v>1</v>
      </c>
      <c r="AC9" s="2">
        <f t="shared" si="6"/>
        <v>1</v>
      </c>
      <c r="AD9" s="2">
        <f t="shared" si="7"/>
        <v>1</v>
      </c>
      <c r="AE9" s="2">
        <f t="shared" si="8"/>
        <v>1</v>
      </c>
      <c r="AF9" s="2">
        <f t="shared" si="9"/>
        <v>1</v>
      </c>
      <c r="AG9" s="2">
        <f t="shared" si="10"/>
        <v>1</v>
      </c>
      <c r="AH9" s="2">
        <f t="shared" si="11"/>
        <v>1</v>
      </c>
      <c r="AI9" s="2">
        <f t="shared" si="12"/>
        <v>1</v>
      </c>
    </row>
    <row r="10" spans="1:35" x14ac:dyDescent="0.25">
      <c r="A10" s="2">
        <v>5</v>
      </c>
      <c r="B10" s="2">
        <v>2</v>
      </c>
      <c r="C10" s="2">
        <v>7</v>
      </c>
      <c r="D10" s="2">
        <v>2</v>
      </c>
      <c r="E10" s="2">
        <v>4</v>
      </c>
      <c r="F10" s="2">
        <v>6</v>
      </c>
      <c r="G10" s="2">
        <v>7</v>
      </c>
      <c r="H10" s="2">
        <f t="shared" si="0"/>
        <v>5272467</v>
      </c>
      <c r="I10" s="2">
        <f t="shared" si="1"/>
        <v>-1</v>
      </c>
      <c r="J10" s="2">
        <f t="shared" si="2"/>
        <v>33</v>
      </c>
      <c r="K10" s="2">
        <f t="shared" si="3"/>
        <v>-1</v>
      </c>
      <c r="L10" s="12">
        <f t="shared" si="4"/>
        <v>0</v>
      </c>
      <c r="AB10" s="2">
        <f t="shared" si="5"/>
        <v>1</v>
      </c>
      <c r="AC10" s="2">
        <f t="shared" si="6"/>
        <v>1</v>
      </c>
      <c r="AD10" s="2">
        <f t="shared" si="7"/>
        <v>1</v>
      </c>
      <c r="AE10" s="2">
        <f t="shared" si="8"/>
        <v>1</v>
      </c>
      <c r="AF10" s="2">
        <f t="shared" si="9"/>
        <v>1</v>
      </c>
      <c r="AG10" s="2">
        <f t="shared" si="10"/>
        <v>1</v>
      </c>
      <c r="AH10" s="2">
        <f t="shared" si="11"/>
        <v>1</v>
      </c>
      <c r="AI10" s="2">
        <f t="shared" si="12"/>
        <v>1</v>
      </c>
    </row>
    <row r="11" spans="1:35" x14ac:dyDescent="0.25">
      <c r="A11" s="2">
        <v>5</v>
      </c>
      <c r="B11" s="2">
        <v>2</v>
      </c>
      <c r="C11" s="2">
        <v>6</v>
      </c>
      <c r="D11" s="2">
        <v>2</v>
      </c>
      <c r="E11" s="2">
        <v>4</v>
      </c>
      <c r="F11" s="2">
        <v>6</v>
      </c>
      <c r="G11" s="2">
        <v>7</v>
      </c>
      <c r="H11" s="2">
        <f t="shared" si="0"/>
        <v>5262467</v>
      </c>
      <c r="I11" s="2">
        <f t="shared" si="1"/>
        <v>-1</v>
      </c>
      <c r="J11" s="2">
        <f t="shared" si="2"/>
        <v>32</v>
      </c>
      <c r="K11" s="2">
        <f t="shared" si="3"/>
        <v>-1</v>
      </c>
      <c r="L11" s="12">
        <f t="shared" si="4"/>
        <v>0</v>
      </c>
      <c r="AB11" s="2">
        <f t="shared" si="5"/>
        <v>1</v>
      </c>
      <c r="AC11" s="2">
        <f t="shared" si="6"/>
        <v>1</v>
      </c>
      <c r="AD11" s="2">
        <f t="shared" si="7"/>
        <v>1</v>
      </c>
      <c r="AE11" s="2">
        <f t="shared" si="8"/>
        <v>1</v>
      </c>
      <c r="AF11" s="2">
        <f t="shared" si="9"/>
        <v>1</v>
      </c>
      <c r="AG11" s="2">
        <f t="shared" si="10"/>
        <v>1</v>
      </c>
      <c r="AH11" s="2">
        <f t="shared" si="11"/>
        <v>1</v>
      </c>
      <c r="AI11" s="2">
        <f t="shared" si="12"/>
        <v>1</v>
      </c>
    </row>
    <row r="12" spans="1:35" x14ac:dyDescent="0.25">
      <c r="A12" s="2">
        <v>5</v>
      </c>
      <c r="B12" s="2">
        <v>2</v>
      </c>
      <c r="C12" s="2">
        <v>5</v>
      </c>
      <c r="D12" s="2">
        <v>2</v>
      </c>
      <c r="E12" s="2">
        <v>4</v>
      </c>
      <c r="F12" s="2">
        <v>6</v>
      </c>
      <c r="G12" s="2">
        <v>7</v>
      </c>
      <c r="H12" s="2">
        <f t="shared" si="0"/>
        <v>5252467</v>
      </c>
      <c r="I12" s="2">
        <f t="shared" si="1"/>
        <v>-1</v>
      </c>
      <c r="J12" s="2">
        <f t="shared" si="2"/>
        <v>31</v>
      </c>
      <c r="K12" s="2">
        <f t="shared" si="3"/>
        <v>-1</v>
      </c>
      <c r="L12" s="12">
        <f t="shared" si="4"/>
        <v>0</v>
      </c>
      <c r="AB12" s="2">
        <f t="shared" si="5"/>
        <v>1</v>
      </c>
      <c r="AC12" s="2">
        <f t="shared" si="6"/>
        <v>1</v>
      </c>
      <c r="AD12" s="2">
        <f t="shared" si="7"/>
        <v>1</v>
      </c>
      <c r="AE12" s="2">
        <f t="shared" si="8"/>
        <v>1</v>
      </c>
      <c r="AF12" s="2">
        <f t="shared" si="9"/>
        <v>1</v>
      </c>
      <c r="AG12" s="2">
        <f t="shared" si="10"/>
        <v>1</v>
      </c>
      <c r="AH12" s="2">
        <f t="shared" si="11"/>
        <v>1</v>
      </c>
      <c r="AI12" s="2">
        <f t="shared" si="12"/>
        <v>1</v>
      </c>
    </row>
    <row r="13" spans="1:35" x14ac:dyDescent="0.25">
      <c r="A13" s="2">
        <v>5</v>
      </c>
      <c r="B13" s="2">
        <v>2</v>
      </c>
      <c r="C13" s="2">
        <v>4</v>
      </c>
      <c r="D13" s="2">
        <v>2</v>
      </c>
      <c r="E13" s="2">
        <v>4</v>
      </c>
      <c r="F13" s="2">
        <v>6</v>
      </c>
      <c r="G13" s="2">
        <v>7</v>
      </c>
      <c r="H13" s="2">
        <f t="shared" si="0"/>
        <v>5242467</v>
      </c>
      <c r="I13" s="2">
        <f t="shared" si="1"/>
        <v>-1</v>
      </c>
      <c r="J13" s="2">
        <f t="shared" si="2"/>
        <v>30</v>
      </c>
      <c r="K13" s="2">
        <f t="shared" si="3"/>
        <v>-1</v>
      </c>
      <c r="L13" s="12">
        <f t="shared" si="4"/>
        <v>0</v>
      </c>
      <c r="AB13" s="2">
        <f t="shared" si="5"/>
        <v>1</v>
      </c>
      <c r="AC13" s="2">
        <f t="shared" si="6"/>
        <v>1</v>
      </c>
      <c r="AD13" s="2">
        <f t="shared" si="7"/>
        <v>1</v>
      </c>
      <c r="AE13" s="2">
        <f t="shared" si="8"/>
        <v>1</v>
      </c>
      <c r="AF13" s="2">
        <f t="shared" si="9"/>
        <v>1</v>
      </c>
      <c r="AG13" s="2">
        <f t="shared" si="10"/>
        <v>1</v>
      </c>
      <c r="AH13" s="2">
        <f t="shared" si="11"/>
        <v>1</v>
      </c>
      <c r="AI13" s="2">
        <f t="shared" si="12"/>
        <v>1</v>
      </c>
    </row>
    <row r="14" spans="1:35" x14ac:dyDescent="0.25">
      <c r="A14" s="2">
        <v>5</v>
      </c>
      <c r="B14" s="2">
        <v>2</v>
      </c>
      <c r="C14" s="2">
        <v>3</v>
      </c>
      <c r="D14" s="2">
        <v>2</v>
      </c>
      <c r="E14" s="2">
        <v>4</v>
      </c>
      <c r="F14" s="2">
        <v>6</v>
      </c>
      <c r="G14" s="2">
        <v>7</v>
      </c>
      <c r="H14" s="2">
        <f t="shared" si="0"/>
        <v>5232467</v>
      </c>
      <c r="I14" s="2">
        <f t="shared" si="1"/>
        <v>-1</v>
      </c>
      <c r="J14" s="2">
        <f t="shared" si="2"/>
        <v>29</v>
      </c>
      <c r="K14" s="2">
        <f t="shared" si="3"/>
        <v>-1</v>
      </c>
      <c r="L14" s="12">
        <f t="shared" si="4"/>
        <v>0</v>
      </c>
      <c r="AB14" s="2">
        <f t="shared" si="5"/>
        <v>1</v>
      </c>
      <c r="AC14" s="2">
        <f t="shared" si="6"/>
        <v>1</v>
      </c>
      <c r="AD14" s="2">
        <f t="shared" si="7"/>
        <v>1</v>
      </c>
      <c r="AE14" s="2">
        <f t="shared" si="8"/>
        <v>1</v>
      </c>
      <c r="AF14" s="2">
        <f t="shared" si="9"/>
        <v>1</v>
      </c>
      <c r="AG14" s="2">
        <f t="shared" si="10"/>
        <v>1</v>
      </c>
      <c r="AH14" s="2">
        <f t="shared" si="11"/>
        <v>1</v>
      </c>
      <c r="AI14" s="2">
        <f t="shared" si="12"/>
        <v>1</v>
      </c>
    </row>
    <row r="15" spans="1:35" x14ac:dyDescent="0.25">
      <c r="A15" s="2">
        <v>5</v>
      </c>
      <c r="B15" s="2">
        <v>2</v>
      </c>
      <c r="C15" s="2">
        <v>2</v>
      </c>
      <c r="D15" s="2">
        <v>2</v>
      </c>
      <c r="E15" s="2">
        <v>4</v>
      </c>
      <c r="F15" s="2">
        <v>6</v>
      </c>
      <c r="G15" s="2">
        <v>7</v>
      </c>
      <c r="H15" s="2">
        <f t="shared" si="0"/>
        <v>5222467</v>
      </c>
      <c r="I15" s="2">
        <f t="shared" si="1"/>
        <v>-1</v>
      </c>
      <c r="J15" s="2">
        <f t="shared" si="2"/>
        <v>28</v>
      </c>
      <c r="K15" s="2">
        <f t="shared" si="3"/>
        <v>-1</v>
      </c>
      <c r="L15" s="12">
        <f t="shared" si="4"/>
        <v>0</v>
      </c>
      <c r="AB15" s="2">
        <f t="shared" si="5"/>
        <v>1</v>
      </c>
      <c r="AC15" s="2">
        <f t="shared" si="6"/>
        <v>1</v>
      </c>
      <c r="AD15" s="2">
        <f t="shared" si="7"/>
        <v>1</v>
      </c>
      <c r="AE15" s="2">
        <f t="shared" si="8"/>
        <v>1</v>
      </c>
      <c r="AF15" s="2">
        <f t="shared" si="9"/>
        <v>1</v>
      </c>
      <c r="AG15" s="2">
        <f t="shared" si="10"/>
        <v>1</v>
      </c>
      <c r="AH15" s="2">
        <f t="shared" si="11"/>
        <v>1</v>
      </c>
      <c r="AI15" s="2">
        <f t="shared" si="12"/>
        <v>1</v>
      </c>
    </row>
    <row r="16" spans="1:35" x14ac:dyDescent="0.25">
      <c r="A16" s="2">
        <v>5</v>
      </c>
      <c r="B16" s="2">
        <v>2</v>
      </c>
      <c r="C16" s="2">
        <v>1</v>
      </c>
      <c r="D16" s="2">
        <v>2</v>
      </c>
      <c r="E16" s="2">
        <v>4</v>
      </c>
      <c r="F16" s="2">
        <v>6</v>
      </c>
      <c r="G16" s="2">
        <v>7</v>
      </c>
      <c r="H16" s="2">
        <f t="shared" si="0"/>
        <v>5212467</v>
      </c>
      <c r="I16" s="2">
        <f t="shared" si="1"/>
        <v>-1</v>
      </c>
      <c r="J16" s="2">
        <f t="shared" si="2"/>
        <v>27</v>
      </c>
      <c r="K16" s="2">
        <f t="shared" si="3"/>
        <v>-1</v>
      </c>
      <c r="L16" s="12">
        <f t="shared" si="4"/>
        <v>0</v>
      </c>
      <c r="AB16" s="2">
        <f t="shared" si="5"/>
        <v>1</v>
      </c>
      <c r="AC16" s="2">
        <f t="shared" si="6"/>
        <v>1</v>
      </c>
      <c r="AD16" s="2">
        <f t="shared" si="7"/>
        <v>1</v>
      </c>
      <c r="AE16" s="2">
        <f t="shared" si="8"/>
        <v>1</v>
      </c>
      <c r="AF16" s="2">
        <f t="shared" si="9"/>
        <v>1</v>
      </c>
      <c r="AG16" s="2">
        <f t="shared" si="10"/>
        <v>1</v>
      </c>
      <c r="AH16" s="2">
        <f t="shared" si="11"/>
        <v>1</v>
      </c>
      <c r="AI16" s="2">
        <f t="shared" si="12"/>
        <v>1</v>
      </c>
    </row>
    <row r="17" spans="1:35" x14ac:dyDescent="0.25">
      <c r="A17" s="2">
        <v>5</v>
      </c>
      <c r="B17" s="2">
        <v>2</v>
      </c>
      <c r="C17" s="2">
        <v>0</v>
      </c>
      <c r="D17" s="2">
        <v>2</v>
      </c>
      <c r="E17" s="2">
        <v>4</v>
      </c>
      <c r="F17" s="2">
        <v>6</v>
      </c>
      <c r="G17" s="2">
        <v>7</v>
      </c>
      <c r="H17" s="2">
        <f t="shared" si="0"/>
        <v>5202467</v>
      </c>
      <c r="I17" s="2">
        <f t="shared" si="1"/>
        <v>-1</v>
      </c>
      <c r="J17" s="2">
        <f t="shared" si="2"/>
        <v>26</v>
      </c>
      <c r="K17" s="2">
        <f t="shared" si="3"/>
        <v>-1</v>
      </c>
      <c r="L17" s="12">
        <f t="shared" si="4"/>
        <v>0</v>
      </c>
      <c r="AB17" s="2">
        <f t="shared" si="5"/>
        <v>1</v>
      </c>
      <c r="AC17" s="2">
        <f t="shared" si="6"/>
        <v>1</v>
      </c>
      <c r="AD17" s="2">
        <f t="shared" si="7"/>
        <v>1</v>
      </c>
      <c r="AE17" s="2">
        <f t="shared" si="8"/>
        <v>1</v>
      </c>
      <c r="AF17" s="2">
        <f t="shared" si="9"/>
        <v>1</v>
      </c>
      <c r="AG17" s="2">
        <f t="shared" si="10"/>
        <v>1</v>
      </c>
      <c r="AH17" s="2">
        <f t="shared" si="11"/>
        <v>1</v>
      </c>
      <c r="AI17" s="2">
        <f t="shared" si="12"/>
        <v>1</v>
      </c>
    </row>
    <row r="18" spans="1:35" x14ac:dyDescent="0.25">
      <c r="A18" s="2">
        <v>8</v>
      </c>
      <c r="B18" s="2">
        <v>2</v>
      </c>
      <c r="C18" s="2">
        <v>8</v>
      </c>
      <c r="D18" s="2">
        <v>2</v>
      </c>
      <c r="E18" s="2">
        <v>4</v>
      </c>
      <c r="F18" s="2">
        <v>6</v>
      </c>
      <c r="G18" s="2">
        <v>7</v>
      </c>
      <c r="H18" s="2">
        <f t="shared" si="0"/>
        <v>8282467</v>
      </c>
      <c r="I18" s="2">
        <f t="shared" si="1"/>
        <v>1</v>
      </c>
      <c r="J18" s="2">
        <f t="shared" si="2"/>
        <v>37</v>
      </c>
      <c r="K18" s="2">
        <f t="shared" si="3"/>
        <v>1</v>
      </c>
      <c r="L18" s="12">
        <f t="shared" si="4"/>
        <v>0</v>
      </c>
      <c r="AB18" s="2">
        <f t="shared" si="5"/>
        <v>1</v>
      </c>
      <c r="AC18" s="2">
        <f t="shared" si="6"/>
        <v>1</v>
      </c>
      <c r="AD18" s="2">
        <f t="shared" si="7"/>
        <v>1</v>
      </c>
      <c r="AE18" s="2">
        <f t="shared" si="8"/>
        <v>1</v>
      </c>
      <c r="AF18" s="2">
        <f t="shared" si="9"/>
        <v>1</v>
      </c>
      <c r="AG18" s="2">
        <f t="shared" si="10"/>
        <v>1</v>
      </c>
      <c r="AH18" s="2">
        <f t="shared" si="11"/>
        <v>1</v>
      </c>
      <c r="AI18" s="2">
        <f t="shared" si="12"/>
        <v>1</v>
      </c>
    </row>
    <row r="19" spans="1:35" x14ac:dyDescent="0.25">
      <c r="A19" s="2">
        <v>8</v>
      </c>
      <c r="B19" s="2">
        <v>3</v>
      </c>
      <c r="C19" s="2">
        <v>8</v>
      </c>
      <c r="D19" s="2">
        <v>3</v>
      </c>
      <c r="E19" s="2">
        <v>4</v>
      </c>
      <c r="F19" s="2">
        <v>6</v>
      </c>
      <c r="G19" s="2">
        <v>7</v>
      </c>
      <c r="H19" s="2">
        <f t="shared" si="0"/>
        <v>8383467</v>
      </c>
      <c r="I19" s="2">
        <f t="shared" si="1"/>
        <v>1</v>
      </c>
      <c r="J19" s="2">
        <f t="shared" si="2"/>
        <v>39</v>
      </c>
      <c r="K19" s="2">
        <f t="shared" si="3"/>
        <v>1</v>
      </c>
      <c r="L19" s="12">
        <f t="shared" si="4"/>
        <v>0</v>
      </c>
      <c r="AB19" s="2">
        <f t="shared" si="5"/>
        <v>1</v>
      </c>
      <c r="AC19" s="2">
        <f t="shared" si="6"/>
        <v>1</v>
      </c>
      <c r="AD19" s="2">
        <f t="shared" si="7"/>
        <v>1</v>
      </c>
      <c r="AE19" s="2">
        <f t="shared" si="8"/>
        <v>1</v>
      </c>
      <c r="AF19" s="2">
        <f t="shared" si="9"/>
        <v>1</v>
      </c>
      <c r="AG19" s="2">
        <f t="shared" si="10"/>
        <v>1</v>
      </c>
      <c r="AH19" s="2">
        <f t="shared" si="11"/>
        <v>1</v>
      </c>
      <c r="AI19" s="2">
        <f t="shared" si="12"/>
        <v>1</v>
      </c>
    </row>
    <row r="20" spans="1:35" x14ac:dyDescent="0.25">
      <c r="A20" s="2">
        <v>2</v>
      </c>
      <c r="B20" s="2">
        <v>3</v>
      </c>
      <c r="C20" s="2">
        <v>4</v>
      </c>
      <c r="D20" s="2">
        <v>5</v>
      </c>
      <c r="E20" s="2">
        <v>6</v>
      </c>
      <c r="F20" s="2">
        <v>7</v>
      </c>
      <c r="G20" s="2">
        <v>8</v>
      </c>
      <c r="H20" s="2">
        <f t="shared" si="0"/>
        <v>2345678</v>
      </c>
      <c r="I20" s="2">
        <f t="shared" si="1"/>
        <v>-1</v>
      </c>
      <c r="J20" s="2">
        <f t="shared" si="2"/>
        <v>35</v>
      </c>
      <c r="K20" s="2">
        <f t="shared" si="3"/>
        <v>1</v>
      </c>
      <c r="L20" s="12">
        <f t="shared" si="4"/>
        <v>-2</v>
      </c>
      <c r="AB20" s="2">
        <f>AB19+0.1*L20*A20</f>
        <v>0.6</v>
      </c>
      <c r="AC20" s="2">
        <f>AC19 + 0.1 * L20 * B20</f>
        <v>0.39999999999999991</v>
      </c>
      <c r="AD20" s="2">
        <f>AD19 + 0.1 * L20 * C20</f>
        <v>0.19999999999999996</v>
      </c>
      <c r="AE20" s="2">
        <f>AE19 + 0.1 * L20 * D20</f>
        <v>0</v>
      </c>
      <c r="AF20" s="2">
        <f>AF19 + 0.1 * L20 * E20</f>
        <v>-0.20000000000000018</v>
      </c>
      <c r="AG20" s="2">
        <f>AG19 + 0.1 * L20 * F20</f>
        <v>-0.40000000000000013</v>
      </c>
      <c r="AH20" s="2">
        <f>AH19 + 0.1 * L20 * G20</f>
        <v>-0.60000000000000009</v>
      </c>
      <c r="AI20" s="2">
        <f>AI19 + 0.1 * L20</f>
        <v>0.8</v>
      </c>
    </row>
    <row r="21" spans="1:35" x14ac:dyDescent="0.25">
      <c r="A21" s="2">
        <v>3</v>
      </c>
      <c r="B21" s="2">
        <v>4</v>
      </c>
      <c r="C21" s="2">
        <v>5</v>
      </c>
      <c r="D21" s="2">
        <v>6</v>
      </c>
      <c r="E21" s="2">
        <v>7</v>
      </c>
      <c r="F21" s="2">
        <v>8</v>
      </c>
      <c r="G21" s="2">
        <v>9</v>
      </c>
      <c r="H21" s="2">
        <f t="shared" si="0"/>
        <v>3456789</v>
      </c>
      <c r="I21" s="2">
        <f t="shared" si="1"/>
        <v>-1</v>
      </c>
      <c r="J21" s="2">
        <f>A21*AB20+B21*AC20+C21*AD20+D21*AE20+E21*AF20+F21*AG20+G21*AH20</f>
        <v>-5.6000000000000032</v>
      </c>
      <c r="K21" s="2">
        <f>IF(J21 +AI20 &gt;= 35, 1, -1)</f>
        <v>-1</v>
      </c>
      <c r="L21" s="12">
        <f t="shared" si="4"/>
        <v>0</v>
      </c>
      <c r="AB21" s="2">
        <f t="shared" ref="AB21:AB40" si="13">AB20+0.1*L21*A21</f>
        <v>0.6</v>
      </c>
      <c r="AC21" s="2">
        <f t="shared" ref="AC21:AC40" si="14">AC20 + 0.1 * L21 * B21</f>
        <v>0.39999999999999991</v>
      </c>
      <c r="AD21" s="2">
        <f t="shared" ref="AD21:AD40" si="15">AD20 + 0.1 * L21 * C21</f>
        <v>0.19999999999999996</v>
      </c>
      <c r="AE21" s="2">
        <f t="shared" ref="AE21:AE40" si="16">AE20 + 0.1 * L21 * D21</f>
        <v>0</v>
      </c>
      <c r="AF21" s="2">
        <f t="shared" ref="AF21:AF40" si="17">AF20 + 0.1 * L21 * E21</f>
        <v>-0.20000000000000018</v>
      </c>
      <c r="AG21" s="2">
        <f t="shared" ref="AG21:AG40" si="18">AG20 + 0.1 * L21 * F21</f>
        <v>-0.40000000000000013</v>
      </c>
      <c r="AH21" s="2">
        <f t="shared" ref="AH21:AH40" si="19">AH20 + 0.1 * L21 * G21</f>
        <v>-0.60000000000000009</v>
      </c>
      <c r="AI21" s="2">
        <f t="shared" ref="AI21:AI40" si="20">AI20 + 0.1 * L21</f>
        <v>0.8</v>
      </c>
    </row>
    <row r="22" spans="1:35" x14ac:dyDescent="0.25">
      <c r="A22" s="2">
        <v>6</v>
      </c>
      <c r="B22" s="2">
        <v>6</v>
      </c>
      <c r="C22" s="2">
        <v>6</v>
      </c>
      <c r="D22" s="2">
        <v>7</v>
      </c>
      <c r="E22" s="2">
        <v>7</v>
      </c>
      <c r="F22" s="2">
        <v>8</v>
      </c>
      <c r="G22" s="2">
        <v>8</v>
      </c>
      <c r="H22" s="2">
        <f t="shared" si="0"/>
        <v>6667788</v>
      </c>
      <c r="I22" s="2">
        <f t="shared" si="1"/>
        <v>1</v>
      </c>
      <c r="J22" s="2">
        <f t="shared" ref="J22:J61" si="21">A22*AB21+B22*AC21+C22*AD21+D22*AE21+E22*AF21+F22*AG21+G22*AH21</f>
        <v>-2.2000000000000037</v>
      </c>
      <c r="K22" s="2">
        <f t="shared" ref="K22:K61" si="22">IF(J22 +AI21 &gt;= 35, 1, -1)</f>
        <v>-1</v>
      </c>
      <c r="L22" s="12">
        <f t="shared" si="4"/>
        <v>2</v>
      </c>
      <c r="AB22" s="2">
        <f t="shared" si="13"/>
        <v>1.8000000000000003</v>
      </c>
      <c r="AC22" s="2">
        <f t="shared" si="14"/>
        <v>1.6</v>
      </c>
      <c r="AD22" s="2">
        <f t="shared" si="15"/>
        <v>1.4000000000000001</v>
      </c>
      <c r="AE22" s="2">
        <f t="shared" si="16"/>
        <v>1.4000000000000001</v>
      </c>
      <c r="AF22" s="2">
        <f t="shared" si="17"/>
        <v>1.2</v>
      </c>
      <c r="AG22" s="2">
        <f t="shared" si="18"/>
        <v>1.2</v>
      </c>
      <c r="AH22" s="2">
        <f t="shared" si="19"/>
        <v>1</v>
      </c>
      <c r="AI22" s="2">
        <f t="shared" si="20"/>
        <v>1</v>
      </c>
    </row>
    <row r="23" spans="1:35" x14ac:dyDescent="0.25">
      <c r="A23" s="2">
        <v>6</v>
      </c>
      <c r="B23" s="2">
        <v>2</v>
      </c>
      <c r="C23" s="2">
        <v>8</v>
      </c>
      <c r="D23" s="2">
        <v>2</v>
      </c>
      <c r="E23" s="2">
        <v>5</v>
      </c>
      <c r="F23" s="2">
        <v>6</v>
      </c>
      <c r="G23" s="2">
        <v>7</v>
      </c>
      <c r="H23" s="2">
        <f t="shared" si="0"/>
        <v>6282567</v>
      </c>
      <c r="I23" s="2">
        <f t="shared" si="1"/>
        <v>1</v>
      </c>
      <c r="J23" s="2">
        <f t="shared" si="21"/>
        <v>48.2</v>
      </c>
      <c r="K23" s="2">
        <f t="shared" si="22"/>
        <v>1</v>
      </c>
      <c r="L23" s="12">
        <f t="shared" si="4"/>
        <v>0</v>
      </c>
      <c r="AB23" s="2">
        <f t="shared" si="13"/>
        <v>1.8000000000000003</v>
      </c>
      <c r="AC23" s="2">
        <f t="shared" si="14"/>
        <v>1.6</v>
      </c>
      <c r="AD23" s="2">
        <f t="shared" si="15"/>
        <v>1.4000000000000001</v>
      </c>
      <c r="AE23" s="2">
        <f t="shared" si="16"/>
        <v>1.4000000000000001</v>
      </c>
      <c r="AF23" s="2">
        <f t="shared" si="17"/>
        <v>1.2</v>
      </c>
      <c r="AG23" s="2">
        <f t="shared" si="18"/>
        <v>1.2</v>
      </c>
      <c r="AH23" s="2">
        <f t="shared" si="19"/>
        <v>1</v>
      </c>
      <c r="AI23" s="2">
        <f t="shared" si="20"/>
        <v>1</v>
      </c>
    </row>
    <row r="24" spans="1:35" x14ac:dyDescent="0.25">
      <c r="A24" s="2">
        <v>3</v>
      </c>
      <c r="B24" s="2">
        <v>3</v>
      </c>
      <c r="C24" s="2">
        <v>4</v>
      </c>
      <c r="D24" s="2">
        <v>5</v>
      </c>
      <c r="E24" s="2">
        <v>6</v>
      </c>
      <c r="F24" s="2">
        <v>7</v>
      </c>
      <c r="G24" s="2">
        <v>8</v>
      </c>
      <c r="H24" s="2">
        <f t="shared" si="0"/>
        <v>3345678</v>
      </c>
      <c r="I24" s="2">
        <f t="shared" si="1"/>
        <v>-1</v>
      </c>
      <c r="J24" s="2">
        <f t="shared" si="21"/>
        <v>46.4</v>
      </c>
      <c r="K24" s="2">
        <f t="shared" si="22"/>
        <v>1</v>
      </c>
      <c r="L24" s="12">
        <f t="shared" si="4"/>
        <v>-2</v>
      </c>
      <c r="AB24" s="2">
        <f t="shared" si="13"/>
        <v>1.2000000000000002</v>
      </c>
      <c r="AC24" s="2">
        <f t="shared" si="14"/>
        <v>1</v>
      </c>
      <c r="AD24" s="2">
        <f t="shared" si="15"/>
        <v>0.60000000000000009</v>
      </c>
      <c r="AE24" s="2">
        <f t="shared" si="16"/>
        <v>0.40000000000000013</v>
      </c>
      <c r="AF24" s="2">
        <f t="shared" si="17"/>
        <v>0</v>
      </c>
      <c r="AG24" s="2">
        <f t="shared" si="18"/>
        <v>-0.20000000000000018</v>
      </c>
      <c r="AH24" s="2">
        <f t="shared" si="19"/>
        <v>-0.60000000000000009</v>
      </c>
      <c r="AI24" s="2">
        <f t="shared" si="20"/>
        <v>0.8</v>
      </c>
    </row>
    <row r="25" spans="1:35" x14ac:dyDescent="0.25">
      <c r="A25" s="2">
        <v>5</v>
      </c>
      <c r="B25" s="2">
        <v>5</v>
      </c>
      <c r="C25" s="2">
        <v>6</v>
      </c>
      <c r="D25" s="2">
        <v>7</v>
      </c>
      <c r="E25" s="2">
        <v>8</v>
      </c>
      <c r="F25" s="2">
        <v>9</v>
      </c>
      <c r="G25" s="2">
        <v>0</v>
      </c>
      <c r="H25" s="2">
        <f t="shared" si="0"/>
        <v>5567890</v>
      </c>
      <c r="I25" s="2">
        <f t="shared" si="1"/>
        <v>1</v>
      </c>
      <c r="J25" s="2">
        <f t="shared" si="21"/>
        <v>15.600000000000001</v>
      </c>
      <c r="K25" s="2">
        <f t="shared" si="22"/>
        <v>-1</v>
      </c>
      <c r="L25" s="12">
        <f t="shared" si="4"/>
        <v>2</v>
      </c>
      <c r="AB25" s="2">
        <f t="shared" si="13"/>
        <v>2.2000000000000002</v>
      </c>
      <c r="AC25" s="2">
        <f t="shared" si="14"/>
        <v>2</v>
      </c>
      <c r="AD25" s="2">
        <f t="shared" si="15"/>
        <v>1.8000000000000003</v>
      </c>
      <c r="AE25" s="2">
        <f t="shared" si="16"/>
        <v>1.8000000000000003</v>
      </c>
      <c r="AF25" s="2">
        <f t="shared" si="17"/>
        <v>1.6</v>
      </c>
      <c r="AG25" s="2">
        <f t="shared" si="18"/>
        <v>1.5999999999999999</v>
      </c>
      <c r="AH25" s="2">
        <f t="shared" si="19"/>
        <v>-0.60000000000000009</v>
      </c>
      <c r="AI25" s="2">
        <f t="shared" si="20"/>
        <v>1</v>
      </c>
    </row>
    <row r="26" spans="1:35" x14ac:dyDescent="0.25">
      <c r="A26" s="2">
        <v>5</v>
      </c>
      <c r="B26" s="2">
        <v>2</v>
      </c>
      <c r="C26" s="2">
        <v>8</v>
      </c>
      <c r="D26" s="2">
        <v>2</v>
      </c>
      <c r="E26" s="2">
        <v>4</v>
      </c>
      <c r="F26" s="2">
        <v>6</v>
      </c>
      <c r="G26" s="2">
        <v>7</v>
      </c>
      <c r="H26" s="2">
        <f t="shared" si="0"/>
        <v>5282467</v>
      </c>
      <c r="I26" s="2">
        <f t="shared" si="1"/>
        <v>1</v>
      </c>
      <c r="J26" s="2">
        <f t="shared" si="21"/>
        <v>44.8</v>
      </c>
      <c r="K26" s="2">
        <f t="shared" si="22"/>
        <v>1</v>
      </c>
      <c r="L26" s="12">
        <f t="shared" si="4"/>
        <v>0</v>
      </c>
      <c r="AB26" s="2">
        <f t="shared" si="13"/>
        <v>2.2000000000000002</v>
      </c>
      <c r="AC26" s="2">
        <f t="shared" si="14"/>
        <v>2</v>
      </c>
      <c r="AD26" s="2">
        <f t="shared" si="15"/>
        <v>1.8000000000000003</v>
      </c>
      <c r="AE26" s="2">
        <f t="shared" si="16"/>
        <v>1.8000000000000003</v>
      </c>
      <c r="AF26" s="2">
        <f t="shared" si="17"/>
        <v>1.6</v>
      </c>
      <c r="AG26" s="2">
        <f t="shared" si="18"/>
        <v>1.5999999999999999</v>
      </c>
      <c r="AH26" s="2">
        <f t="shared" si="19"/>
        <v>-0.60000000000000009</v>
      </c>
      <c r="AI26" s="2">
        <f t="shared" si="20"/>
        <v>1</v>
      </c>
    </row>
    <row r="27" spans="1:35" x14ac:dyDescent="0.25">
      <c r="A27" s="2">
        <v>5</v>
      </c>
      <c r="B27" s="2">
        <v>3</v>
      </c>
      <c r="C27" s="2">
        <v>8</v>
      </c>
      <c r="D27" s="2">
        <v>3</v>
      </c>
      <c r="E27" s="2">
        <v>4</v>
      </c>
      <c r="F27" s="2">
        <v>6</v>
      </c>
      <c r="G27" s="2">
        <v>7</v>
      </c>
      <c r="H27" s="2">
        <f t="shared" si="0"/>
        <v>5383467</v>
      </c>
      <c r="I27" s="2">
        <f t="shared" si="1"/>
        <v>1</v>
      </c>
      <c r="J27" s="2">
        <f t="shared" si="21"/>
        <v>48.6</v>
      </c>
      <c r="K27" s="2">
        <f t="shared" si="22"/>
        <v>1</v>
      </c>
      <c r="L27" s="12">
        <f t="shared" si="4"/>
        <v>0</v>
      </c>
      <c r="AB27" s="2">
        <f t="shared" si="13"/>
        <v>2.2000000000000002</v>
      </c>
      <c r="AC27" s="2">
        <f t="shared" si="14"/>
        <v>2</v>
      </c>
      <c r="AD27" s="2">
        <f t="shared" si="15"/>
        <v>1.8000000000000003</v>
      </c>
      <c r="AE27" s="2">
        <f t="shared" si="16"/>
        <v>1.8000000000000003</v>
      </c>
      <c r="AF27" s="2">
        <f t="shared" si="17"/>
        <v>1.6</v>
      </c>
      <c r="AG27" s="2">
        <f t="shared" si="18"/>
        <v>1.5999999999999999</v>
      </c>
      <c r="AH27" s="2">
        <f t="shared" si="19"/>
        <v>-0.60000000000000009</v>
      </c>
      <c r="AI27" s="2">
        <f t="shared" si="20"/>
        <v>1</v>
      </c>
    </row>
    <row r="28" spans="1:35" x14ac:dyDescent="0.25">
      <c r="A28" s="2">
        <v>1</v>
      </c>
      <c r="B28" s="2">
        <v>2</v>
      </c>
      <c r="C28" s="2">
        <v>3</v>
      </c>
      <c r="D28" s="2">
        <v>4</v>
      </c>
      <c r="E28" s="2">
        <v>5</v>
      </c>
      <c r="F28" s="2">
        <v>6</v>
      </c>
      <c r="G28" s="2">
        <v>7</v>
      </c>
      <c r="H28" s="2">
        <f t="shared" si="0"/>
        <v>1234567</v>
      </c>
      <c r="I28" s="2">
        <f t="shared" si="1"/>
        <v>-1</v>
      </c>
      <c r="J28" s="2">
        <f t="shared" si="21"/>
        <v>32.200000000000003</v>
      </c>
      <c r="K28" s="2">
        <f t="shared" si="22"/>
        <v>-1</v>
      </c>
      <c r="L28" s="12">
        <f t="shared" si="4"/>
        <v>0</v>
      </c>
      <c r="AB28" s="2">
        <f t="shared" si="13"/>
        <v>2.2000000000000002</v>
      </c>
      <c r="AC28" s="2">
        <f t="shared" si="14"/>
        <v>2</v>
      </c>
      <c r="AD28" s="2">
        <f t="shared" si="15"/>
        <v>1.8000000000000003</v>
      </c>
      <c r="AE28" s="2">
        <f t="shared" si="16"/>
        <v>1.8000000000000003</v>
      </c>
      <c r="AF28" s="2">
        <f t="shared" si="17"/>
        <v>1.6</v>
      </c>
      <c r="AG28" s="2">
        <f t="shared" si="18"/>
        <v>1.5999999999999999</v>
      </c>
      <c r="AH28" s="2">
        <f t="shared" si="19"/>
        <v>-0.60000000000000009</v>
      </c>
      <c r="AI28" s="2">
        <f t="shared" si="20"/>
        <v>1</v>
      </c>
    </row>
    <row r="29" spans="1:35" x14ac:dyDescent="0.25">
      <c r="A29" s="2">
        <v>2</v>
      </c>
      <c r="B29" s="2">
        <v>3</v>
      </c>
      <c r="C29" s="2">
        <v>4</v>
      </c>
      <c r="D29" s="2">
        <v>5</v>
      </c>
      <c r="E29" s="2">
        <v>6</v>
      </c>
      <c r="F29" s="2">
        <v>7</v>
      </c>
      <c r="G29" s="2">
        <v>8</v>
      </c>
      <c r="H29" s="2">
        <f t="shared" si="0"/>
        <v>2345678</v>
      </c>
      <c r="I29" s="2">
        <f t="shared" si="1"/>
        <v>-1</v>
      </c>
      <c r="J29" s="2">
        <f t="shared" si="21"/>
        <v>42.600000000000009</v>
      </c>
      <c r="K29" s="2">
        <f t="shared" si="22"/>
        <v>1</v>
      </c>
      <c r="L29" s="12">
        <f t="shared" si="4"/>
        <v>-2</v>
      </c>
      <c r="AB29" s="2">
        <f t="shared" si="13"/>
        <v>1.8000000000000003</v>
      </c>
      <c r="AC29" s="2">
        <f t="shared" si="14"/>
        <v>1.4</v>
      </c>
      <c r="AD29" s="2">
        <f t="shared" si="15"/>
        <v>1.0000000000000002</v>
      </c>
      <c r="AE29" s="2">
        <f t="shared" si="16"/>
        <v>0.80000000000000027</v>
      </c>
      <c r="AF29" s="2">
        <f t="shared" si="17"/>
        <v>0.39999999999999991</v>
      </c>
      <c r="AG29" s="2">
        <f t="shared" si="18"/>
        <v>0.19999999999999973</v>
      </c>
      <c r="AH29" s="2">
        <f t="shared" si="19"/>
        <v>-2.2000000000000002</v>
      </c>
      <c r="AI29" s="2">
        <f t="shared" si="20"/>
        <v>0.8</v>
      </c>
    </row>
    <row r="30" spans="1:35" x14ac:dyDescent="0.25">
      <c r="A30" s="2">
        <v>4</v>
      </c>
      <c r="B30" s="2">
        <v>4</v>
      </c>
      <c r="C30" s="2">
        <v>5</v>
      </c>
      <c r="D30" s="2">
        <v>6</v>
      </c>
      <c r="E30" s="2">
        <v>7</v>
      </c>
      <c r="F30" s="2">
        <v>8</v>
      </c>
      <c r="G30" s="2">
        <v>9</v>
      </c>
      <c r="H30" s="2">
        <f t="shared" si="0"/>
        <v>4456789</v>
      </c>
      <c r="I30" s="2">
        <f t="shared" si="1"/>
        <v>-1</v>
      </c>
      <c r="J30" s="2">
        <f t="shared" si="21"/>
        <v>7.1999999999999993</v>
      </c>
      <c r="K30" s="2">
        <f t="shared" si="22"/>
        <v>-1</v>
      </c>
      <c r="L30" s="12">
        <f t="shared" si="4"/>
        <v>0</v>
      </c>
      <c r="AB30" s="2">
        <f t="shared" si="13"/>
        <v>1.8000000000000003</v>
      </c>
      <c r="AC30" s="2">
        <f t="shared" si="14"/>
        <v>1.4</v>
      </c>
      <c r="AD30" s="2">
        <f t="shared" si="15"/>
        <v>1.0000000000000002</v>
      </c>
      <c r="AE30" s="2">
        <f t="shared" si="16"/>
        <v>0.80000000000000027</v>
      </c>
      <c r="AF30" s="2">
        <f t="shared" si="17"/>
        <v>0.39999999999999991</v>
      </c>
      <c r="AG30" s="2">
        <f t="shared" si="18"/>
        <v>0.19999999999999973</v>
      </c>
      <c r="AH30" s="2">
        <f t="shared" si="19"/>
        <v>-2.2000000000000002</v>
      </c>
      <c r="AI30" s="2">
        <f t="shared" si="20"/>
        <v>0.8</v>
      </c>
    </row>
    <row r="31" spans="1:35" x14ac:dyDescent="0.25">
      <c r="A31" s="2">
        <v>5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f t="shared" si="0"/>
        <v>5123456</v>
      </c>
      <c r="I31" s="2">
        <f t="shared" si="1"/>
        <v>-1</v>
      </c>
      <c r="J31" s="2">
        <f t="shared" si="21"/>
        <v>4.2000000000000011</v>
      </c>
      <c r="K31" s="2">
        <f t="shared" si="22"/>
        <v>-1</v>
      </c>
      <c r="L31" s="12">
        <f t="shared" si="4"/>
        <v>0</v>
      </c>
      <c r="AB31" s="2">
        <f t="shared" si="13"/>
        <v>1.8000000000000003</v>
      </c>
      <c r="AC31" s="2">
        <f t="shared" si="14"/>
        <v>1.4</v>
      </c>
      <c r="AD31" s="2">
        <f t="shared" si="15"/>
        <v>1.0000000000000002</v>
      </c>
      <c r="AE31" s="2">
        <f t="shared" si="16"/>
        <v>0.80000000000000027</v>
      </c>
      <c r="AF31" s="2">
        <f t="shared" si="17"/>
        <v>0.39999999999999991</v>
      </c>
      <c r="AG31" s="2">
        <f t="shared" si="18"/>
        <v>0.19999999999999973</v>
      </c>
      <c r="AH31" s="2">
        <f t="shared" si="19"/>
        <v>-2.2000000000000002</v>
      </c>
      <c r="AI31" s="2">
        <f t="shared" si="20"/>
        <v>0.8</v>
      </c>
    </row>
    <row r="32" spans="1:35" x14ac:dyDescent="0.25">
      <c r="A32" s="2">
        <v>2</v>
      </c>
      <c r="B32" s="2">
        <v>4</v>
      </c>
      <c r="C32" s="2">
        <v>5</v>
      </c>
      <c r="D32" s="2">
        <v>6</v>
      </c>
      <c r="E32" s="2">
        <v>7</v>
      </c>
      <c r="F32" s="2">
        <v>8</v>
      </c>
      <c r="G32" s="2">
        <v>9</v>
      </c>
      <c r="H32" s="2">
        <f t="shared" si="0"/>
        <v>2456789</v>
      </c>
      <c r="I32" s="2">
        <f t="shared" si="1"/>
        <v>-1</v>
      </c>
      <c r="J32" s="2">
        <f t="shared" si="21"/>
        <v>3.5999999999999979</v>
      </c>
      <c r="K32" s="2">
        <f t="shared" si="22"/>
        <v>-1</v>
      </c>
      <c r="L32" s="12">
        <f t="shared" si="4"/>
        <v>0</v>
      </c>
      <c r="AB32" s="2">
        <f t="shared" si="13"/>
        <v>1.8000000000000003</v>
      </c>
      <c r="AC32" s="2">
        <f t="shared" si="14"/>
        <v>1.4</v>
      </c>
      <c r="AD32" s="2">
        <f t="shared" si="15"/>
        <v>1.0000000000000002</v>
      </c>
      <c r="AE32" s="2">
        <f t="shared" si="16"/>
        <v>0.80000000000000027</v>
      </c>
      <c r="AF32" s="2">
        <f t="shared" si="17"/>
        <v>0.39999999999999991</v>
      </c>
      <c r="AG32" s="2">
        <f t="shared" si="18"/>
        <v>0.19999999999999973</v>
      </c>
      <c r="AH32" s="2">
        <f t="shared" si="19"/>
        <v>-2.2000000000000002</v>
      </c>
      <c r="AI32" s="2">
        <f t="shared" si="20"/>
        <v>0.8</v>
      </c>
    </row>
    <row r="33" spans="1:35" x14ac:dyDescent="0.25">
      <c r="A33" s="2">
        <v>4</v>
      </c>
      <c r="B33" s="2">
        <v>6</v>
      </c>
      <c r="C33" s="2">
        <v>7</v>
      </c>
      <c r="D33" s="2">
        <v>8</v>
      </c>
      <c r="E33" s="2">
        <v>9</v>
      </c>
      <c r="F33" s="2">
        <v>0</v>
      </c>
      <c r="G33" s="2">
        <v>9</v>
      </c>
      <c r="H33" s="2">
        <f t="shared" si="0"/>
        <v>4678909</v>
      </c>
      <c r="I33" s="2">
        <f t="shared" si="1"/>
        <v>-1</v>
      </c>
      <c r="J33" s="2">
        <f t="shared" si="21"/>
        <v>12.8</v>
      </c>
      <c r="K33" s="2">
        <f t="shared" si="22"/>
        <v>-1</v>
      </c>
      <c r="L33" s="12">
        <f t="shared" si="4"/>
        <v>0</v>
      </c>
      <c r="AB33" s="2">
        <f t="shared" si="13"/>
        <v>1.8000000000000003</v>
      </c>
      <c r="AC33" s="2">
        <f t="shared" si="14"/>
        <v>1.4</v>
      </c>
      <c r="AD33" s="2">
        <f t="shared" si="15"/>
        <v>1.0000000000000002</v>
      </c>
      <c r="AE33" s="2">
        <f t="shared" si="16"/>
        <v>0.80000000000000027</v>
      </c>
      <c r="AF33" s="2">
        <f t="shared" si="17"/>
        <v>0.39999999999999991</v>
      </c>
      <c r="AG33" s="2">
        <f t="shared" si="18"/>
        <v>0.19999999999999973</v>
      </c>
      <c r="AH33" s="2">
        <f t="shared" si="19"/>
        <v>-2.2000000000000002</v>
      </c>
      <c r="AI33" s="2">
        <f t="shared" si="20"/>
        <v>0.8</v>
      </c>
    </row>
    <row r="34" spans="1:35" x14ac:dyDescent="0.25">
      <c r="A34" s="2">
        <v>8</v>
      </c>
      <c r="B34" s="2">
        <v>7</v>
      </c>
      <c r="C34" s="2">
        <v>9</v>
      </c>
      <c r="D34" s="2">
        <v>6</v>
      </c>
      <c r="E34" s="2">
        <v>5</v>
      </c>
      <c r="F34" s="2">
        <v>4</v>
      </c>
      <c r="G34" s="2">
        <v>3</v>
      </c>
      <c r="H34" s="2">
        <f t="shared" si="0"/>
        <v>8796543</v>
      </c>
      <c r="I34" s="2">
        <f t="shared" si="1"/>
        <v>1</v>
      </c>
      <c r="J34" s="2">
        <f t="shared" si="21"/>
        <v>34.200000000000003</v>
      </c>
      <c r="K34" s="2">
        <f t="shared" si="22"/>
        <v>1</v>
      </c>
      <c r="L34" s="12">
        <f t="shared" si="4"/>
        <v>0</v>
      </c>
      <c r="AB34" s="2">
        <f t="shared" si="13"/>
        <v>1.8000000000000003</v>
      </c>
      <c r="AC34" s="2">
        <f t="shared" si="14"/>
        <v>1.4</v>
      </c>
      <c r="AD34" s="2">
        <f t="shared" si="15"/>
        <v>1.0000000000000002</v>
      </c>
      <c r="AE34" s="2">
        <f t="shared" si="16"/>
        <v>0.80000000000000027</v>
      </c>
      <c r="AF34" s="2">
        <f t="shared" si="17"/>
        <v>0.39999999999999991</v>
      </c>
      <c r="AG34" s="2">
        <f t="shared" si="18"/>
        <v>0.19999999999999973</v>
      </c>
      <c r="AH34" s="2">
        <f t="shared" si="19"/>
        <v>-2.2000000000000002</v>
      </c>
      <c r="AI34" s="2">
        <f t="shared" si="20"/>
        <v>0.8</v>
      </c>
    </row>
    <row r="35" spans="1:35" x14ac:dyDescent="0.25">
      <c r="A35" s="2">
        <v>9</v>
      </c>
      <c r="B35" s="2">
        <v>8</v>
      </c>
      <c r="C35" s="2">
        <v>7</v>
      </c>
      <c r="D35" s="2">
        <v>6</v>
      </c>
      <c r="E35" s="2">
        <v>5</v>
      </c>
      <c r="F35" s="2">
        <v>4</v>
      </c>
      <c r="G35" s="2">
        <v>3</v>
      </c>
      <c r="H35" s="2">
        <f t="shared" si="0"/>
        <v>9876543</v>
      </c>
      <c r="I35" s="2">
        <f t="shared" si="1"/>
        <v>1</v>
      </c>
      <c r="J35" s="2">
        <f t="shared" si="21"/>
        <v>35.400000000000006</v>
      </c>
      <c r="K35" s="2">
        <f t="shared" si="22"/>
        <v>1</v>
      </c>
      <c r="L35" s="12">
        <f t="shared" si="4"/>
        <v>0</v>
      </c>
      <c r="AB35" s="2">
        <f t="shared" si="13"/>
        <v>1.8000000000000003</v>
      </c>
      <c r="AC35" s="2">
        <f t="shared" si="14"/>
        <v>1.4</v>
      </c>
      <c r="AD35" s="2">
        <f t="shared" si="15"/>
        <v>1.0000000000000002</v>
      </c>
      <c r="AE35" s="2">
        <f t="shared" si="16"/>
        <v>0.80000000000000027</v>
      </c>
      <c r="AF35" s="2">
        <f t="shared" si="17"/>
        <v>0.39999999999999991</v>
      </c>
      <c r="AG35" s="2">
        <f t="shared" si="18"/>
        <v>0.19999999999999973</v>
      </c>
      <c r="AH35" s="2">
        <f t="shared" si="19"/>
        <v>-2.2000000000000002</v>
      </c>
      <c r="AI35" s="2">
        <f t="shared" si="20"/>
        <v>0.8</v>
      </c>
    </row>
    <row r="36" spans="1:35" x14ac:dyDescent="0.25">
      <c r="A36" s="2">
        <v>5</v>
      </c>
      <c r="B36" s="2">
        <v>2</v>
      </c>
      <c r="C36" s="2">
        <v>8</v>
      </c>
      <c r="D36" s="2">
        <v>2</v>
      </c>
      <c r="E36" s="2">
        <v>4</v>
      </c>
      <c r="F36" s="2">
        <v>6</v>
      </c>
      <c r="G36" s="2">
        <v>7</v>
      </c>
      <c r="H36" s="2">
        <f t="shared" si="0"/>
        <v>5282467</v>
      </c>
      <c r="I36" s="2">
        <f t="shared" si="1"/>
        <v>1</v>
      </c>
      <c r="J36" s="2">
        <f t="shared" si="21"/>
        <v>8.8000000000000043</v>
      </c>
      <c r="K36" s="2">
        <f t="shared" si="22"/>
        <v>-1</v>
      </c>
      <c r="L36" s="12">
        <f t="shared" si="4"/>
        <v>2</v>
      </c>
      <c r="AB36" s="2">
        <f t="shared" si="13"/>
        <v>2.8000000000000003</v>
      </c>
      <c r="AC36" s="2">
        <f t="shared" si="14"/>
        <v>1.7999999999999998</v>
      </c>
      <c r="AD36" s="2">
        <f t="shared" si="15"/>
        <v>2.6000000000000005</v>
      </c>
      <c r="AE36" s="2">
        <f t="shared" si="16"/>
        <v>1.2000000000000002</v>
      </c>
      <c r="AF36" s="2">
        <f t="shared" si="17"/>
        <v>1.2</v>
      </c>
      <c r="AG36" s="2">
        <f t="shared" si="18"/>
        <v>1.4</v>
      </c>
      <c r="AH36" s="2">
        <f t="shared" si="19"/>
        <v>-0.8</v>
      </c>
      <c r="AI36" s="2">
        <f t="shared" si="20"/>
        <v>1</v>
      </c>
    </row>
    <row r="37" spans="1:35" x14ac:dyDescent="0.25">
      <c r="A37" s="2">
        <v>3</v>
      </c>
      <c r="B37" s="2">
        <v>3</v>
      </c>
      <c r="C37" s="2">
        <v>4</v>
      </c>
      <c r="D37" s="2">
        <v>5</v>
      </c>
      <c r="E37" s="2">
        <v>6</v>
      </c>
      <c r="F37" s="2">
        <v>7</v>
      </c>
      <c r="G37" s="2">
        <v>8</v>
      </c>
      <c r="H37" s="2">
        <f t="shared" si="0"/>
        <v>3345678</v>
      </c>
      <c r="I37" s="2">
        <f t="shared" si="1"/>
        <v>-1</v>
      </c>
      <c r="J37" s="2">
        <f t="shared" si="21"/>
        <v>40.800000000000004</v>
      </c>
      <c r="K37" s="2">
        <f t="shared" si="22"/>
        <v>1</v>
      </c>
      <c r="L37" s="12">
        <f t="shared" si="4"/>
        <v>-2</v>
      </c>
      <c r="AB37" s="2">
        <f t="shared" si="13"/>
        <v>2.2000000000000002</v>
      </c>
      <c r="AC37" s="2">
        <f t="shared" si="14"/>
        <v>1.1999999999999997</v>
      </c>
      <c r="AD37" s="2">
        <f t="shared" si="15"/>
        <v>1.8000000000000005</v>
      </c>
      <c r="AE37" s="2">
        <f t="shared" si="16"/>
        <v>0.20000000000000018</v>
      </c>
      <c r="AF37" s="2">
        <f t="shared" si="17"/>
        <v>0</v>
      </c>
      <c r="AG37" s="2">
        <f t="shared" si="18"/>
        <v>0</v>
      </c>
      <c r="AH37" s="2">
        <f t="shared" si="19"/>
        <v>-2.4000000000000004</v>
      </c>
      <c r="AI37" s="2">
        <f t="shared" si="20"/>
        <v>0.8</v>
      </c>
    </row>
    <row r="38" spans="1:35" x14ac:dyDescent="0.25">
      <c r="A38" s="2">
        <v>4</v>
      </c>
      <c r="B38" s="2">
        <v>4</v>
      </c>
      <c r="C38" s="2">
        <v>5</v>
      </c>
      <c r="D38" s="2">
        <v>6</v>
      </c>
      <c r="E38" s="2">
        <v>7</v>
      </c>
      <c r="F38" s="2">
        <v>8</v>
      </c>
      <c r="G38" s="2">
        <v>9</v>
      </c>
      <c r="H38" s="2">
        <f t="shared" si="0"/>
        <v>4456789</v>
      </c>
      <c r="I38" s="2">
        <f t="shared" si="1"/>
        <v>-1</v>
      </c>
      <c r="J38" s="2">
        <f t="shared" si="21"/>
        <v>2.2000000000000028</v>
      </c>
      <c r="K38" s="2">
        <f t="shared" si="22"/>
        <v>-1</v>
      </c>
      <c r="L38" s="12">
        <f t="shared" si="4"/>
        <v>0</v>
      </c>
      <c r="AB38" s="2">
        <f t="shared" si="13"/>
        <v>2.2000000000000002</v>
      </c>
      <c r="AC38" s="2">
        <f t="shared" si="14"/>
        <v>1.1999999999999997</v>
      </c>
      <c r="AD38" s="2">
        <f t="shared" si="15"/>
        <v>1.8000000000000005</v>
      </c>
      <c r="AE38" s="2">
        <f t="shared" si="16"/>
        <v>0.20000000000000018</v>
      </c>
      <c r="AF38" s="2">
        <f t="shared" si="17"/>
        <v>0</v>
      </c>
      <c r="AG38" s="2">
        <f t="shared" si="18"/>
        <v>0</v>
      </c>
      <c r="AH38" s="2">
        <f t="shared" si="19"/>
        <v>-2.4000000000000004</v>
      </c>
      <c r="AI38" s="2">
        <f t="shared" si="20"/>
        <v>0.8</v>
      </c>
    </row>
    <row r="39" spans="1:35" x14ac:dyDescent="0.25">
      <c r="A39" s="2">
        <v>6</v>
      </c>
      <c r="B39" s="2">
        <v>6</v>
      </c>
      <c r="C39" s="2">
        <v>7</v>
      </c>
      <c r="D39" s="2">
        <v>7</v>
      </c>
      <c r="E39" s="2">
        <v>8</v>
      </c>
      <c r="F39" s="2">
        <v>8</v>
      </c>
      <c r="G39" s="2">
        <v>9</v>
      </c>
      <c r="H39" s="2">
        <f t="shared" si="0"/>
        <v>6677889</v>
      </c>
      <c r="I39" s="2">
        <f t="shared" si="1"/>
        <v>1</v>
      </c>
      <c r="J39" s="2">
        <f t="shared" si="21"/>
        <v>12.799999999999997</v>
      </c>
      <c r="K39" s="2">
        <f t="shared" si="22"/>
        <v>-1</v>
      </c>
      <c r="L39" s="12">
        <f t="shared" si="4"/>
        <v>2</v>
      </c>
      <c r="AB39" s="2">
        <f t="shared" si="13"/>
        <v>3.4000000000000004</v>
      </c>
      <c r="AC39" s="2">
        <f t="shared" si="14"/>
        <v>2.4</v>
      </c>
      <c r="AD39" s="2">
        <f t="shared" si="15"/>
        <v>3.2000000000000006</v>
      </c>
      <c r="AE39" s="2">
        <f t="shared" si="16"/>
        <v>1.6000000000000003</v>
      </c>
      <c r="AF39" s="2">
        <f t="shared" si="17"/>
        <v>1.6</v>
      </c>
      <c r="AG39" s="2">
        <f t="shared" si="18"/>
        <v>1.6</v>
      </c>
      <c r="AH39" s="2">
        <f t="shared" si="19"/>
        <v>-0.60000000000000031</v>
      </c>
      <c r="AI39" s="2">
        <f t="shared" si="20"/>
        <v>1</v>
      </c>
    </row>
    <row r="40" spans="1:35" x14ac:dyDescent="0.25">
      <c r="A40" s="2">
        <v>5</v>
      </c>
      <c r="B40" s="2">
        <v>5</v>
      </c>
      <c r="C40" s="2">
        <v>5</v>
      </c>
      <c r="D40" s="2">
        <v>6</v>
      </c>
      <c r="E40" s="2">
        <v>7</v>
      </c>
      <c r="F40" s="2">
        <v>8</v>
      </c>
      <c r="G40" s="2">
        <v>9</v>
      </c>
      <c r="H40" s="2">
        <f t="shared" si="0"/>
        <v>5556789</v>
      </c>
      <c r="I40" s="2">
        <f t="shared" si="1"/>
        <v>1</v>
      </c>
      <c r="J40" s="2">
        <f t="shared" si="21"/>
        <v>73.199999999999989</v>
      </c>
      <c r="K40" s="2">
        <f t="shared" si="22"/>
        <v>1</v>
      </c>
      <c r="L40" s="12">
        <f t="shared" si="4"/>
        <v>0</v>
      </c>
      <c r="AB40" s="2">
        <f t="shared" si="13"/>
        <v>3.4000000000000004</v>
      </c>
      <c r="AC40" s="2">
        <f t="shared" si="14"/>
        <v>2.4</v>
      </c>
      <c r="AD40" s="2">
        <f t="shared" si="15"/>
        <v>3.2000000000000006</v>
      </c>
      <c r="AE40" s="2">
        <f t="shared" si="16"/>
        <v>1.6000000000000003</v>
      </c>
      <c r="AF40" s="2">
        <f t="shared" si="17"/>
        <v>1.6</v>
      </c>
      <c r="AG40" s="2">
        <f t="shared" si="18"/>
        <v>1.6</v>
      </c>
      <c r="AH40" s="2">
        <f t="shared" si="19"/>
        <v>-0.60000000000000031</v>
      </c>
      <c r="AI40" s="2">
        <f t="shared" si="20"/>
        <v>1</v>
      </c>
    </row>
    <row r="41" spans="1:35" x14ac:dyDescent="0.25">
      <c r="A41" s="2">
        <v>4</v>
      </c>
      <c r="B41" s="2">
        <v>5</v>
      </c>
      <c r="C41" s="2">
        <v>6</v>
      </c>
      <c r="D41" s="2">
        <v>7</v>
      </c>
      <c r="E41" s="2">
        <v>8</v>
      </c>
      <c r="F41" s="2">
        <v>9</v>
      </c>
      <c r="G41" s="2">
        <v>0</v>
      </c>
      <c r="H41" s="2">
        <f t="shared" si="0"/>
        <v>4567890</v>
      </c>
      <c r="I41" s="2">
        <f t="shared" si="1"/>
        <v>-1</v>
      </c>
      <c r="J41" s="2">
        <f t="shared" si="21"/>
        <v>83.200000000000017</v>
      </c>
      <c r="K41" s="2">
        <f t="shared" si="22"/>
        <v>1</v>
      </c>
      <c r="L41" s="12">
        <f t="shared" si="4"/>
        <v>-2</v>
      </c>
      <c r="AB41" s="2">
        <f t="shared" ref="AB41:AB60" si="23">AB40+0.1*L41*A41</f>
        <v>2.6000000000000005</v>
      </c>
      <c r="AC41" s="2">
        <f t="shared" ref="AC41:AC60" si="24">AC40 + 0.1 * L41 * B41</f>
        <v>1.4</v>
      </c>
      <c r="AD41" s="2">
        <f t="shared" ref="AD41:AD60" si="25">AD40 + 0.1 * L41 * C41</f>
        <v>2.0000000000000004</v>
      </c>
      <c r="AE41" s="2">
        <f t="shared" ref="AE41:AE60" si="26">AE40 + 0.1 * L41 * D41</f>
        <v>0.20000000000000018</v>
      </c>
      <c r="AF41" s="2">
        <f t="shared" ref="AF41:AF60" si="27">AF40 + 0.1 * L41 * E41</f>
        <v>0</v>
      </c>
      <c r="AG41" s="2">
        <f t="shared" ref="AG41:AG60" si="28">AG40 + 0.1 * L41 * F41</f>
        <v>-0.19999999999999996</v>
      </c>
      <c r="AH41" s="2">
        <f t="shared" ref="AH41:AH60" si="29">AH40 + 0.1 * L41 * G41</f>
        <v>-0.60000000000000031</v>
      </c>
      <c r="AI41" s="2">
        <f t="shared" ref="AI41:AI60" si="30">AI40 + 0.1 * L41</f>
        <v>0.8</v>
      </c>
    </row>
    <row r="42" spans="1:35" x14ac:dyDescent="0.25">
      <c r="A42" s="2">
        <v>4</v>
      </c>
      <c r="B42" s="2">
        <v>4</v>
      </c>
      <c r="C42" s="2">
        <v>5</v>
      </c>
      <c r="D42" s="2">
        <v>6</v>
      </c>
      <c r="E42" s="2">
        <v>7</v>
      </c>
      <c r="F42" s="2">
        <v>8</v>
      </c>
      <c r="G42" s="2">
        <v>9</v>
      </c>
      <c r="H42" s="2">
        <f t="shared" si="0"/>
        <v>4456789</v>
      </c>
      <c r="I42" s="2">
        <f t="shared" si="1"/>
        <v>-1</v>
      </c>
      <c r="J42" s="2">
        <f t="shared" si="21"/>
        <v>20.2</v>
      </c>
      <c r="K42" s="2">
        <f t="shared" si="22"/>
        <v>-1</v>
      </c>
      <c r="L42" s="12">
        <f t="shared" si="4"/>
        <v>0</v>
      </c>
      <c r="AB42" s="2">
        <f t="shared" si="23"/>
        <v>2.6000000000000005</v>
      </c>
      <c r="AC42" s="2">
        <f t="shared" si="24"/>
        <v>1.4</v>
      </c>
      <c r="AD42" s="2">
        <f t="shared" si="25"/>
        <v>2.0000000000000004</v>
      </c>
      <c r="AE42" s="2">
        <f t="shared" si="26"/>
        <v>0.20000000000000018</v>
      </c>
      <c r="AF42" s="2">
        <f t="shared" si="27"/>
        <v>0</v>
      </c>
      <c r="AG42" s="2">
        <f t="shared" si="28"/>
        <v>-0.19999999999999996</v>
      </c>
      <c r="AH42" s="2">
        <f t="shared" si="29"/>
        <v>-0.60000000000000031</v>
      </c>
      <c r="AI42" s="2">
        <f t="shared" si="30"/>
        <v>0.8</v>
      </c>
    </row>
    <row r="43" spans="1:35" x14ac:dyDescent="0.25">
      <c r="A43" s="2">
        <v>7</v>
      </c>
      <c r="B43" s="2">
        <v>7</v>
      </c>
      <c r="C43" s="2">
        <v>7</v>
      </c>
      <c r="D43" s="2">
        <v>8</v>
      </c>
      <c r="E43" s="2">
        <v>9</v>
      </c>
      <c r="F43" s="2">
        <v>0</v>
      </c>
      <c r="G43" s="2">
        <v>1</v>
      </c>
      <c r="H43" s="2">
        <f t="shared" si="0"/>
        <v>7778901</v>
      </c>
      <c r="I43" s="2">
        <f t="shared" si="1"/>
        <v>1</v>
      </c>
      <c r="J43" s="2">
        <f t="shared" si="21"/>
        <v>43</v>
      </c>
      <c r="K43" s="2">
        <f t="shared" si="22"/>
        <v>1</v>
      </c>
      <c r="L43" s="12">
        <f t="shared" si="4"/>
        <v>0</v>
      </c>
      <c r="AB43" s="2">
        <f t="shared" si="23"/>
        <v>2.6000000000000005</v>
      </c>
      <c r="AC43" s="2">
        <f t="shared" si="24"/>
        <v>1.4</v>
      </c>
      <c r="AD43" s="2">
        <f t="shared" si="25"/>
        <v>2.0000000000000004</v>
      </c>
      <c r="AE43" s="2">
        <f t="shared" si="26"/>
        <v>0.20000000000000018</v>
      </c>
      <c r="AF43" s="2">
        <f t="shared" si="27"/>
        <v>0</v>
      </c>
      <c r="AG43" s="2">
        <f t="shared" si="28"/>
        <v>-0.19999999999999996</v>
      </c>
      <c r="AH43" s="2">
        <f t="shared" si="29"/>
        <v>-0.60000000000000031</v>
      </c>
      <c r="AI43" s="2">
        <f t="shared" si="30"/>
        <v>0.8</v>
      </c>
    </row>
    <row r="44" spans="1:35" x14ac:dyDescent="0.25">
      <c r="A44" s="2">
        <v>8</v>
      </c>
      <c r="B44" s="2">
        <v>8</v>
      </c>
      <c r="C44" s="2">
        <v>7</v>
      </c>
      <c r="D44" s="2">
        <v>6</v>
      </c>
      <c r="E44" s="2">
        <v>5</v>
      </c>
      <c r="F44" s="2">
        <v>4</v>
      </c>
      <c r="G44" s="2">
        <v>3</v>
      </c>
      <c r="H44" s="2">
        <f t="shared" si="0"/>
        <v>8876543</v>
      </c>
      <c r="I44" s="2">
        <f t="shared" si="1"/>
        <v>1</v>
      </c>
      <c r="J44" s="2">
        <f t="shared" si="21"/>
        <v>44.6</v>
      </c>
      <c r="K44" s="2">
        <f t="shared" si="22"/>
        <v>1</v>
      </c>
      <c r="L44" s="12">
        <f t="shared" si="4"/>
        <v>0</v>
      </c>
      <c r="AB44" s="2">
        <f t="shared" si="23"/>
        <v>2.6000000000000005</v>
      </c>
      <c r="AC44" s="2">
        <f t="shared" si="24"/>
        <v>1.4</v>
      </c>
      <c r="AD44" s="2">
        <f t="shared" si="25"/>
        <v>2.0000000000000004</v>
      </c>
      <c r="AE44" s="2">
        <f t="shared" si="26"/>
        <v>0.20000000000000018</v>
      </c>
      <c r="AF44" s="2">
        <f t="shared" si="27"/>
        <v>0</v>
      </c>
      <c r="AG44" s="2">
        <f t="shared" si="28"/>
        <v>-0.19999999999999996</v>
      </c>
      <c r="AH44" s="2">
        <f t="shared" si="29"/>
        <v>-0.60000000000000031</v>
      </c>
      <c r="AI44" s="2">
        <f t="shared" si="30"/>
        <v>0.8</v>
      </c>
    </row>
    <row r="45" spans="1:35" x14ac:dyDescent="0.25">
      <c r="A45" s="2">
        <v>9</v>
      </c>
      <c r="B45" s="2">
        <v>8</v>
      </c>
      <c r="C45" s="2">
        <v>7</v>
      </c>
      <c r="D45" s="2">
        <v>6</v>
      </c>
      <c r="E45" s="2">
        <v>5</v>
      </c>
      <c r="F45" s="2">
        <v>4</v>
      </c>
      <c r="G45" s="2">
        <v>3</v>
      </c>
      <c r="H45" s="2">
        <f t="shared" si="0"/>
        <v>9876543</v>
      </c>
      <c r="I45" s="2">
        <f t="shared" si="1"/>
        <v>1</v>
      </c>
      <c r="J45" s="2">
        <f t="shared" si="21"/>
        <v>47.20000000000001</v>
      </c>
      <c r="K45" s="2">
        <f t="shared" si="22"/>
        <v>1</v>
      </c>
      <c r="L45" s="12">
        <f t="shared" si="4"/>
        <v>0</v>
      </c>
      <c r="AB45" s="2">
        <f t="shared" si="23"/>
        <v>2.6000000000000005</v>
      </c>
      <c r="AC45" s="2">
        <f t="shared" si="24"/>
        <v>1.4</v>
      </c>
      <c r="AD45" s="2">
        <f t="shared" si="25"/>
        <v>2.0000000000000004</v>
      </c>
      <c r="AE45" s="2">
        <f t="shared" si="26"/>
        <v>0.20000000000000018</v>
      </c>
      <c r="AF45" s="2">
        <f t="shared" si="27"/>
        <v>0</v>
      </c>
      <c r="AG45" s="2">
        <f t="shared" si="28"/>
        <v>-0.19999999999999996</v>
      </c>
      <c r="AH45" s="2">
        <f t="shared" si="29"/>
        <v>-0.60000000000000031</v>
      </c>
      <c r="AI45" s="2">
        <f t="shared" si="30"/>
        <v>0.8</v>
      </c>
    </row>
    <row r="46" spans="1:35" x14ac:dyDescent="0.25">
      <c r="A46" s="2">
        <v>4</v>
      </c>
      <c r="B46" s="2">
        <v>5</v>
      </c>
      <c r="C46" s="2">
        <v>6</v>
      </c>
      <c r="D46" s="2">
        <v>7</v>
      </c>
      <c r="E46" s="2">
        <v>8</v>
      </c>
      <c r="F46" s="2">
        <v>9</v>
      </c>
      <c r="G46" s="2">
        <v>9</v>
      </c>
      <c r="H46" s="2">
        <f t="shared" si="0"/>
        <v>4567899</v>
      </c>
      <c r="I46" s="2">
        <f t="shared" si="1"/>
        <v>-1</v>
      </c>
      <c r="J46" s="2">
        <f t="shared" si="21"/>
        <v>23.600000000000005</v>
      </c>
      <c r="K46" s="2">
        <f t="shared" si="22"/>
        <v>-1</v>
      </c>
      <c r="L46" s="12">
        <f t="shared" si="4"/>
        <v>0</v>
      </c>
      <c r="AB46" s="2">
        <f t="shared" si="23"/>
        <v>2.6000000000000005</v>
      </c>
      <c r="AC46" s="2">
        <f t="shared" si="24"/>
        <v>1.4</v>
      </c>
      <c r="AD46" s="2">
        <f t="shared" si="25"/>
        <v>2.0000000000000004</v>
      </c>
      <c r="AE46" s="2">
        <f t="shared" si="26"/>
        <v>0.20000000000000018</v>
      </c>
      <c r="AF46" s="2">
        <f t="shared" si="27"/>
        <v>0</v>
      </c>
      <c r="AG46" s="2">
        <f t="shared" si="28"/>
        <v>-0.19999999999999996</v>
      </c>
      <c r="AH46" s="2">
        <f t="shared" si="29"/>
        <v>-0.60000000000000031</v>
      </c>
      <c r="AI46" s="2">
        <f t="shared" si="30"/>
        <v>0.8</v>
      </c>
    </row>
    <row r="47" spans="1:35" x14ac:dyDescent="0.25">
      <c r="A47" s="2">
        <v>4</v>
      </c>
      <c r="B47" s="2">
        <v>4</v>
      </c>
      <c r="C47" s="2">
        <v>4</v>
      </c>
      <c r="D47" s="2">
        <v>5</v>
      </c>
      <c r="E47" s="2">
        <v>6</v>
      </c>
      <c r="F47" s="2">
        <v>7</v>
      </c>
      <c r="G47" s="2">
        <v>8</v>
      </c>
      <c r="H47" s="2">
        <f t="shared" si="0"/>
        <v>4445678</v>
      </c>
      <c r="I47" s="2">
        <f t="shared" si="1"/>
        <v>-1</v>
      </c>
      <c r="J47" s="2">
        <f t="shared" si="21"/>
        <v>18.799999999999997</v>
      </c>
      <c r="K47" s="2">
        <f t="shared" si="22"/>
        <v>-1</v>
      </c>
      <c r="L47" s="12">
        <f t="shared" si="4"/>
        <v>0</v>
      </c>
      <c r="AB47" s="2">
        <f t="shared" si="23"/>
        <v>2.6000000000000005</v>
      </c>
      <c r="AC47" s="2">
        <f t="shared" si="24"/>
        <v>1.4</v>
      </c>
      <c r="AD47" s="2">
        <f t="shared" si="25"/>
        <v>2.0000000000000004</v>
      </c>
      <c r="AE47" s="2">
        <f t="shared" si="26"/>
        <v>0.20000000000000018</v>
      </c>
      <c r="AF47" s="2">
        <f t="shared" si="27"/>
        <v>0</v>
      </c>
      <c r="AG47" s="2">
        <f t="shared" si="28"/>
        <v>-0.19999999999999996</v>
      </c>
      <c r="AH47" s="2">
        <f t="shared" si="29"/>
        <v>-0.60000000000000031</v>
      </c>
      <c r="AI47" s="2">
        <f t="shared" si="30"/>
        <v>0.8</v>
      </c>
    </row>
    <row r="48" spans="1:35" x14ac:dyDescent="0.25">
      <c r="A48" s="2">
        <v>3</v>
      </c>
      <c r="B48" s="2">
        <v>4</v>
      </c>
      <c r="C48" s="2">
        <v>5</v>
      </c>
      <c r="D48" s="2">
        <v>6</v>
      </c>
      <c r="E48" s="2">
        <v>7</v>
      </c>
      <c r="F48" s="2">
        <v>8</v>
      </c>
      <c r="G48" s="2">
        <v>9</v>
      </c>
      <c r="H48" s="2">
        <f t="shared" si="0"/>
        <v>3456789</v>
      </c>
      <c r="I48" s="2">
        <f t="shared" si="1"/>
        <v>-1</v>
      </c>
      <c r="J48" s="2">
        <f t="shared" si="21"/>
        <v>17.600000000000005</v>
      </c>
      <c r="K48" s="2">
        <f t="shared" si="22"/>
        <v>-1</v>
      </c>
      <c r="L48" s="12">
        <f t="shared" si="4"/>
        <v>0</v>
      </c>
      <c r="AB48" s="2">
        <f t="shared" si="23"/>
        <v>2.6000000000000005</v>
      </c>
      <c r="AC48" s="2">
        <f t="shared" si="24"/>
        <v>1.4</v>
      </c>
      <c r="AD48" s="2">
        <f t="shared" si="25"/>
        <v>2.0000000000000004</v>
      </c>
      <c r="AE48" s="2">
        <f t="shared" si="26"/>
        <v>0.20000000000000018</v>
      </c>
      <c r="AF48" s="2">
        <f t="shared" si="27"/>
        <v>0</v>
      </c>
      <c r="AG48" s="2">
        <f t="shared" si="28"/>
        <v>-0.19999999999999996</v>
      </c>
      <c r="AH48" s="2">
        <f t="shared" si="29"/>
        <v>-0.60000000000000031</v>
      </c>
      <c r="AI48" s="2">
        <f t="shared" si="30"/>
        <v>0.8</v>
      </c>
    </row>
    <row r="49" spans="1:35" x14ac:dyDescent="0.25">
      <c r="A49" s="2">
        <v>4</v>
      </c>
      <c r="B49" s="2">
        <v>5</v>
      </c>
      <c r="C49" s="2">
        <v>5</v>
      </c>
      <c r="D49" s="2">
        <v>6</v>
      </c>
      <c r="E49" s="2">
        <v>7</v>
      </c>
      <c r="F49" s="2">
        <v>8</v>
      </c>
      <c r="G49" s="2">
        <v>9</v>
      </c>
      <c r="H49" s="2">
        <f t="shared" si="0"/>
        <v>4556789</v>
      </c>
      <c r="I49" s="2">
        <f t="shared" si="1"/>
        <v>-1</v>
      </c>
      <c r="J49" s="2">
        <f t="shared" si="21"/>
        <v>21.600000000000005</v>
      </c>
      <c r="K49" s="2">
        <f t="shared" si="22"/>
        <v>-1</v>
      </c>
      <c r="L49" s="12">
        <f t="shared" si="4"/>
        <v>0</v>
      </c>
      <c r="AB49" s="2">
        <f t="shared" si="23"/>
        <v>2.6000000000000005</v>
      </c>
      <c r="AC49" s="2">
        <f t="shared" si="24"/>
        <v>1.4</v>
      </c>
      <c r="AD49" s="2">
        <f t="shared" si="25"/>
        <v>2.0000000000000004</v>
      </c>
      <c r="AE49" s="2">
        <f t="shared" si="26"/>
        <v>0.20000000000000018</v>
      </c>
      <c r="AF49" s="2">
        <f t="shared" si="27"/>
        <v>0</v>
      </c>
      <c r="AG49" s="2">
        <f t="shared" si="28"/>
        <v>-0.19999999999999996</v>
      </c>
      <c r="AH49" s="2">
        <f t="shared" si="29"/>
        <v>-0.60000000000000031</v>
      </c>
      <c r="AI49" s="2">
        <f t="shared" si="30"/>
        <v>0.8</v>
      </c>
    </row>
    <row r="50" spans="1:35" x14ac:dyDescent="0.25">
      <c r="A50" s="2">
        <v>9</v>
      </c>
      <c r="B50" s="2">
        <v>9</v>
      </c>
      <c r="C50" s="2">
        <v>8</v>
      </c>
      <c r="D50" s="2">
        <v>7</v>
      </c>
      <c r="E50" s="2">
        <v>6</v>
      </c>
      <c r="F50" s="2">
        <v>5</v>
      </c>
      <c r="G50" s="2">
        <v>4</v>
      </c>
      <c r="H50" s="2">
        <f t="shared" si="0"/>
        <v>9987654</v>
      </c>
      <c r="I50" s="2">
        <f t="shared" si="1"/>
        <v>1</v>
      </c>
      <c r="J50" s="2">
        <f t="shared" si="21"/>
        <v>50.000000000000014</v>
      </c>
      <c r="K50" s="2">
        <f t="shared" si="22"/>
        <v>1</v>
      </c>
      <c r="L50" s="12">
        <f t="shared" si="4"/>
        <v>0</v>
      </c>
      <c r="AB50" s="2">
        <f t="shared" si="23"/>
        <v>2.6000000000000005</v>
      </c>
      <c r="AC50" s="2">
        <f t="shared" si="24"/>
        <v>1.4</v>
      </c>
      <c r="AD50" s="2">
        <f t="shared" si="25"/>
        <v>2.0000000000000004</v>
      </c>
      <c r="AE50" s="2">
        <f t="shared" si="26"/>
        <v>0.20000000000000018</v>
      </c>
      <c r="AF50" s="2">
        <f t="shared" si="27"/>
        <v>0</v>
      </c>
      <c r="AG50" s="2">
        <f t="shared" si="28"/>
        <v>-0.19999999999999996</v>
      </c>
      <c r="AH50" s="2">
        <f t="shared" si="29"/>
        <v>-0.60000000000000031</v>
      </c>
      <c r="AI50" s="2">
        <f t="shared" si="30"/>
        <v>0.8</v>
      </c>
    </row>
    <row r="51" spans="1:35" x14ac:dyDescent="0.25">
      <c r="A51" s="2">
        <v>8</v>
      </c>
      <c r="B51" s="2">
        <v>8</v>
      </c>
      <c r="C51" s="2">
        <v>8</v>
      </c>
      <c r="D51" s="2">
        <v>9</v>
      </c>
      <c r="E51" s="2">
        <v>8</v>
      </c>
      <c r="F51" s="2">
        <v>7</v>
      </c>
      <c r="G51" s="2">
        <v>6</v>
      </c>
      <c r="H51" s="2">
        <f t="shared" si="0"/>
        <v>8889876</v>
      </c>
      <c r="I51" s="2">
        <f t="shared" si="1"/>
        <v>1</v>
      </c>
      <c r="J51" s="2">
        <f t="shared" si="21"/>
        <v>44.800000000000004</v>
      </c>
      <c r="K51" s="2">
        <f t="shared" si="22"/>
        <v>1</v>
      </c>
      <c r="L51" s="12">
        <f t="shared" si="4"/>
        <v>0</v>
      </c>
      <c r="AB51" s="2">
        <f t="shared" si="23"/>
        <v>2.6000000000000005</v>
      </c>
      <c r="AC51" s="2">
        <f t="shared" si="24"/>
        <v>1.4</v>
      </c>
      <c r="AD51" s="2">
        <f t="shared" si="25"/>
        <v>2.0000000000000004</v>
      </c>
      <c r="AE51" s="2">
        <f t="shared" si="26"/>
        <v>0.20000000000000018</v>
      </c>
      <c r="AF51" s="2">
        <f t="shared" si="27"/>
        <v>0</v>
      </c>
      <c r="AG51" s="2">
        <f t="shared" si="28"/>
        <v>-0.19999999999999996</v>
      </c>
      <c r="AH51" s="2">
        <f t="shared" si="29"/>
        <v>-0.60000000000000031</v>
      </c>
      <c r="AI51" s="2">
        <f t="shared" si="30"/>
        <v>0.8</v>
      </c>
    </row>
    <row r="52" spans="1:35" x14ac:dyDescent="0.25">
      <c r="A52" s="2">
        <v>5</v>
      </c>
      <c r="B52" s="2">
        <v>1</v>
      </c>
      <c r="C52" s="2">
        <v>1</v>
      </c>
      <c r="D52" s="2">
        <v>4</v>
      </c>
      <c r="E52" s="2">
        <v>6</v>
      </c>
      <c r="F52" s="2">
        <v>7</v>
      </c>
      <c r="G52" s="2">
        <v>8</v>
      </c>
      <c r="H52" s="2">
        <f t="shared" si="0"/>
        <v>5114678</v>
      </c>
      <c r="I52" s="2">
        <f t="shared" si="1"/>
        <v>-1</v>
      </c>
      <c r="J52" s="2">
        <f t="shared" si="21"/>
        <v>11.000000000000004</v>
      </c>
      <c r="K52" s="2">
        <f t="shared" si="22"/>
        <v>-1</v>
      </c>
      <c r="L52" s="12">
        <f t="shared" si="4"/>
        <v>0</v>
      </c>
      <c r="AB52" s="2">
        <f t="shared" si="23"/>
        <v>2.6000000000000005</v>
      </c>
      <c r="AC52" s="2">
        <f t="shared" si="24"/>
        <v>1.4</v>
      </c>
      <c r="AD52" s="2">
        <f t="shared" si="25"/>
        <v>2.0000000000000004</v>
      </c>
      <c r="AE52" s="2">
        <f t="shared" si="26"/>
        <v>0.20000000000000018</v>
      </c>
      <c r="AF52" s="2">
        <f t="shared" si="27"/>
        <v>0</v>
      </c>
      <c r="AG52" s="2">
        <f t="shared" si="28"/>
        <v>-0.19999999999999996</v>
      </c>
      <c r="AH52" s="2">
        <f t="shared" si="29"/>
        <v>-0.60000000000000031</v>
      </c>
      <c r="AI52" s="2">
        <f t="shared" si="30"/>
        <v>0.8</v>
      </c>
    </row>
    <row r="53" spans="1:35" x14ac:dyDescent="0.25">
      <c r="A53" s="2">
        <v>5</v>
      </c>
      <c r="B53" s="2">
        <v>6</v>
      </c>
      <c r="C53" s="2">
        <v>7</v>
      </c>
      <c r="D53" s="2">
        <v>8</v>
      </c>
      <c r="E53" s="2">
        <v>9</v>
      </c>
      <c r="F53" s="2">
        <v>0</v>
      </c>
      <c r="G53" s="2">
        <v>0</v>
      </c>
      <c r="H53" s="2">
        <f t="shared" si="0"/>
        <v>5678900</v>
      </c>
      <c r="I53" s="2">
        <f t="shared" si="1"/>
        <v>1</v>
      </c>
      <c r="J53" s="2">
        <f t="shared" si="21"/>
        <v>37.000000000000007</v>
      </c>
      <c r="K53" s="2">
        <f t="shared" si="22"/>
        <v>1</v>
      </c>
      <c r="L53" s="12">
        <f t="shared" si="4"/>
        <v>0</v>
      </c>
      <c r="AB53" s="2">
        <f t="shared" si="23"/>
        <v>2.6000000000000005</v>
      </c>
      <c r="AC53" s="2">
        <f t="shared" si="24"/>
        <v>1.4</v>
      </c>
      <c r="AD53" s="2">
        <f t="shared" si="25"/>
        <v>2.0000000000000004</v>
      </c>
      <c r="AE53" s="2">
        <f t="shared" si="26"/>
        <v>0.20000000000000018</v>
      </c>
      <c r="AF53" s="2">
        <f t="shared" si="27"/>
        <v>0</v>
      </c>
      <c r="AG53" s="2">
        <f t="shared" si="28"/>
        <v>-0.19999999999999996</v>
      </c>
      <c r="AH53" s="2">
        <f t="shared" si="29"/>
        <v>-0.60000000000000031</v>
      </c>
      <c r="AI53" s="2">
        <f t="shared" si="30"/>
        <v>0.8</v>
      </c>
    </row>
    <row r="54" spans="1:35" x14ac:dyDescent="0.25">
      <c r="A54" s="2">
        <v>5</v>
      </c>
      <c r="B54" s="2">
        <v>3</v>
      </c>
      <c r="C54" s="2">
        <v>8</v>
      </c>
      <c r="D54" s="2">
        <v>3</v>
      </c>
      <c r="E54" s="2">
        <v>4</v>
      </c>
      <c r="F54" s="2">
        <v>6</v>
      </c>
      <c r="G54" s="2">
        <v>7</v>
      </c>
      <c r="H54" s="2">
        <f t="shared" si="0"/>
        <v>5383467</v>
      </c>
      <c r="I54" s="2">
        <f t="shared" si="1"/>
        <v>1</v>
      </c>
      <c r="J54" s="2">
        <f t="shared" si="21"/>
        <v>28.4</v>
      </c>
      <c r="K54" s="2">
        <f t="shared" si="22"/>
        <v>-1</v>
      </c>
      <c r="L54" s="12">
        <f t="shared" si="4"/>
        <v>2</v>
      </c>
      <c r="AB54" s="2">
        <f t="shared" si="23"/>
        <v>3.6000000000000005</v>
      </c>
      <c r="AC54" s="2">
        <f t="shared" si="24"/>
        <v>2</v>
      </c>
      <c r="AD54" s="2">
        <f t="shared" si="25"/>
        <v>3.6000000000000005</v>
      </c>
      <c r="AE54" s="2">
        <f t="shared" si="26"/>
        <v>0.80000000000000027</v>
      </c>
      <c r="AF54" s="2">
        <f t="shared" si="27"/>
        <v>0.8</v>
      </c>
      <c r="AG54" s="2">
        <f t="shared" si="28"/>
        <v>1.0000000000000002</v>
      </c>
      <c r="AH54" s="2">
        <f t="shared" si="29"/>
        <v>0.79999999999999982</v>
      </c>
      <c r="AI54" s="2">
        <f t="shared" si="30"/>
        <v>1</v>
      </c>
    </row>
    <row r="55" spans="1:35" x14ac:dyDescent="0.25">
      <c r="A55" s="2">
        <v>5</v>
      </c>
      <c r="B55" s="2">
        <v>4</v>
      </c>
      <c r="C55" s="2">
        <v>8</v>
      </c>
      <c r="D55" s="2">
        <v>4</v>
      </c>
      <c r="E55" s="2">
        <v>4</v>
      </c>
      <c r="F55" s="2">
        <v>6</v>
      </c>
      <c r="G55" s="2">
        <v>7</v>
      </c>
      <c r="H55" s="2">
        <f t="shared" si="0"/>
        <v>5484467</v>
      </c>
      <c r="I55" s="2">
        <f t="shared" si="1"/>
        <v>1</v>
      </c>
      <c r="J55" s="2">
        <f t="shared" si="21"/>
        <v>72.800000000000011</v>
      </c>
      <c r="K55" s="2">
        <f t="shared" si="22"/>
        <v>1</v>
      </c>
      <c r="L55" s="12">
        <f t="shared" si="4"/>
        <v>0</v>
      </c>
      <c r="AB55" s="2">
        <f t="shared" si="23"/>
        <v>3.6000000000000005</v>
      </c>
      <c r="AC55" s="2">
        <f t="shared" si="24"/>
        <v>2</v>
      </c>
      <c r="AD55" s="2">
        <f t="shared" si="25"/>
        <v>3.6000000000000005</v>
      </c>
      <c r="AE55" s="2">
        <f t="shared" si="26"/>
        <v>0.80000000000000027</v>
      </c>
      <c r="AF55" s="2">
        <f t="shared" si="27"/>
        <v>0.8</v>
      </c>
      <c r="AG55" s="2">
        <f t="shared" si="28"/>
        <v>1.0000000000000002</v>
      </c>
      <c r="AH55" s="2">
        <f t="shared" si="29"/>
        <v>0.79999999999999982</v>
      </c>
      <c r="AI55" s="2">
        <f t="shared" si="30"/>
        <v>1</v>
      </c>
    </row>
    <row r="56" spans="1:35" x14ac:dyDescent="0.25">
      <c r="A56" s="2">
        <v>7</v>
      </c>
      <c r="B56" s="2">
        <v>7</v>
      </c>
      <c r="C56" s="2">
        <v>7</v>
      </c>
      <c r="D56" s="2">
        <v>8</v>
      </c>
      <c r="E56" s="2">
        <v>9</v>
      </c>
      <c r="F56" s="2">
        <v>9</v>
      </c>
      <c r="G56" s="2">
        <v>9</v>
      </c>
      <c r="H56" s="2">
        <f t="shared" si="0"/>
        <v>7778999</v>
      </c>
      <c r="I56" s="2">
        <f t="shared" si="1"/>
        <v>1</v>
      </c>
      <c r="J56" s="2">
        <f t="shared" si="21"/>
        <v>94.200000000000017</v>
      </c>
      <c r="K56" s="2">
        <f t="shared" si="22"/>
        <v>1</v>
      </c>
      <c r="L56" s="12">
        <f t="shared" si="4"/>
        <v>0</v>
      </c>
      <c r="AB56" s="2">
        <f t="shared" si="23"/>
        <v>3.6000000000000005</v>
      </c>
      <c r="AC56" s="2">
        <f t="shared" si="24"/>
        <v>2</v>
      </c>
      <c r="AD56" s="2">
        <f t="shared" si="25"/>
        <v>3.6000000000000005</v>
      </c>
      <c r="AE56" s="2">
        <f t="shared" si="26"/>
        <v>0.80000000000000027</v>
      </c>
      <c r="AF56" s="2">
        <f t="shared" si="27"/>
        <v>0.8</v>
      </c>
      <c r="AG56" s="2">
        <f t="shared" si="28"/>
        <v>1.0000000000000002</v>
      </c>
      <c r="AH56" s="2">
        <f t="shared" si="29"/>
        <v>0.79999999999999982</v>
      </c>
      <c r="AI56" s="2">
        <f t="shared" si="30"/>
        <v>1</v>
      </c>
    </row>
    <row r="57" spans="1:35" x14ac:dyDescent="0.25">
      <c r="A57" s="2">
        <v>4</v>
      </c>
      <c r="B57" s="2">
        <v>4</v>
      </c>
      <c r="C57" s="2">
        <v>4</v>
      </c>
      <c r="D57" s="2">
        <v>5</v>
      </c>
      <c r="E57" s="2">
        <v>6</v>
      </c>
      <c r="F57" s="2">
        <v>7</v>
      </c>
      <c r="G57" s="2">
        <v>8</v>
      </c>
      <c r="H57" s="2">
        <f t="shared" si="0"/>
        <v>4445678</v>
      </c>
      <c r="I57" s="2">
        <f t="shared" si="1"/>
        <v>-1</v>
      </c>
      <c r="J57" s="2">
        <f t="shared" si="21"/>
        <v>59.000000000000007</v>
      </c>
      <c r="K57" s="2">
        <f t="shared" si="22"/>
        <v>1</v>
      </c>
      <c r="L57" s="12">
        <f t="shared" si="4"/>
        <v>-2</v>
      </c>
      <c r="AB57" s="2">
        <f t="shared" si="23"/>
        <v>2.8000000000000007</v>
      </c>
      <c r="AC57" s="2">
        <f t="shared" si="24"/>
        <v>1.2</v>
      </c>
      <c r="AD57" s="2">
        <f t="shared" si="25"/>
        <v>2.8000000000000007</v>
      </c>
      <c r="AE57" s="2">
        <f t="shared" si="26"/>
        <v>-0.19999999999999973</v>
      </c>
      <c r="AF57" s="2">
        <f t="shared" si="27"/>
        <v>-0.40000000000000013</v>
      </c>
      <c r="AG57" s="2">
        <f t="shared" si="28"/>
        <v>-0.39999999999999991</v>
      </c>
      <c r="AH57" s="2">
        <f t="shared" si="29"/>
        <v>-0.80000000000000027</v>
      </c>
      <c r="AI57" s="2">
        <f t="shared" si="30"/>
        <v>0.8</v>
      </c>
    </row>
    <row r="58" spans="1:35" x14ac:dyDescent="0.25">
      <c r="A58" s="2">
        <v>4</v>
      </c>
      <c r="B58" s="2">
        <v>3</v>
      </c>
      <c r="C58" s="2">
        <v>2</v>
      </c>
      <c r="D58" s="2">
        <v>8</v>
      </c>
      <c r="E58" s="2">
        <v>9</v>
      </c>
      <c r="F58" s="2">
        <v>9</v>
      </c>
      <c r="G58" s="2">
        <v>9</v>
      </c>
      <c r="H58" s="2">
        <f t="shared" si="0"/>
        <v>4328999</v>
      </c>
      <c r="I58" s="2">
        <f t="shared" si="1"/>
        <v>-1</v>
      </c>
      <c r="J58" s="2">
        <f t="shared" si="21"/>
        <v>4.4000000000000039</v>
      </c>
      <c r="K58" s="2">
        <f t="shared" si="22"/>
        <v>-1</v>
      </c>
      <c r="L58" s="12">
        <f t="shared" si="4"/>
        <v>0</v>
      </c>
      <c r="AB58" s="2">
        <f t="shared" si="23"/>
        <v>2.8000000000000007</v>
      </c>
      <c r="AC58" s="2">
        <f t="shared" si="24"/>
        <v>1.2</v>
      </c>
      <c r="AD58" s="2">
        <f t="shared" si="25"/>
        <v>2.8000000000000007</v>
      </c>
      <c r="AE58" s="2">
        <f t="shared" si="26"/>
        <v>-0.19999999999999973</v>
      </c>
      <c r="AF58" s="2">
        <f t="shared" si="27"/>
        <v>-0.40000000000000013</v>
      </c>
      <c r="AG58" s="2">
        <f t="shared" si="28"/>
        <v>-0.39999999999999991</v>
      </c>
      <c r="AH58" s="2">
        <f t="shared" si="29"/>
        <v>-0.80000000000000027</v>
      </c>
      <c r="AI58" s="2">
        <f t="shared" si="30"/>
        <v>0.8</v>
      </c>
    </row>
    <row r="59" spans="1:35" x14ac:dyDescent="0.25">
      <c r="A59" s="2">
        <v>5</v>
      </c>
      <c r="B59" s="2">
        <v>0</v>
      </c>
      <c r="C59" s="2">
        <v>0</v>
      </c>
      <c r="D59" s="2">
        <v>8</v>
      </c>
      <c r="E59" s="2">
        <v>7</v>
      </c>
      <c r="F59" s="2">
        <v>6</v>
      </c>
      <c r="G59" s="2">
        <v>9</v>
      </c>
      <c r="H59" s="2">
        <f t="shared" si="0"/>
        <v>5008769</v>
      </c>
      <c r="I59" s="2">
        <f t="shared" si="1"/>
        <v>-1</v>
      </c>
      <c r="J59" s="2">
        <f t="shared" si="21"/>
        <v>0</v>
      </c>
      <c r="K59" s="2">
        <f t="shared" si="22"/>
        <v>-1</v>
      </c>
      <c r="L59" s="12">
        <f t="shared" si="4"/>
        <v>0</v>
      </c>
      <c r="AB59" s="2">
        <f t="shared" si="23"/>
        <v>2.8000000000000007</v>
      </c>
      <c r="AC59" s="2">
        <f t="shared" si="24"/>
        <v>1.2</v>
      </c>
      <c r="AD59" s="2">
        <f t="shared" si="25"/>
        <v>2.8000000000000007</v>
      </c>
      <c r="AE59" s="2">
        <f t="shared" si="26"/>
        <v>-0.19999999999999973</v>
      </c>
      <c r="AF59" s="2">
        <f t="shared" si="27"/>
        <v>-0.40000000000000013</v>
      </c>
      <c r="AG59" s="2">
        <f t="shared" si="28"/>
        <v>-0.39999999999999991</v>
      </c>
      <c r="AH59" s="2">
        <f t="shared" si="29"/>
        <v>-0.80000000000000027</v>
      </c>
      <c r="AI59" s="2">
        <f t="shared" si="30"/>
        <v>0.8</v>
      </c>
    </row>
    <row r="60" spans="1:35" x14ac:dyDescent="0.25">
      <c r="A60" s="2">
        <v>4</v>
      </c>
      <c r="B60" s="2">
        <v>5</v>
      </c>
      <c r="C60" s="2">
        <v>6</v>
      </c>
      <c r="D60" s="2">
        <v>9</v>
      </c>
      <c r="E60" s="2">
        <v>8</v>
      </c>
      <c r="F60" s="2">
        <v>7</v>
      </c>
      <c r="G60" s="2">
        <v>6</v>
      </c>
      <c r="H60" s="2">
        <f t="shared" si="0"/>
        <v>4569876</v>
      </c>
      <c r="I60" s="2">
        <f t="shared" si="1"/>
        <v>-1</v>
      </c>
      <c r="J60" s="2">
        <f t="shared" si="21"/>
        <v>21.400000000000006</v>
      </c>
      <c r="K60" s="2">
        <f t="shared" si="22"/>
        <v>-1</v>
      </c>
      <c r="L60" s="12">
        <f t="shared" si="4"/>
        <v>0</v>
      </c>
      <c r="AB60" s="2">
        <f t="shared" si="23"/>
        <v>2.8000000000000007</v>
      </c>
      <c r="AC60" s="2">
        <f t="shared" si="24"/>
        <v>1.2</v>
      </c>
      <c r="AD60" s="2">
        <f t="shared" si="25"/>
        <v>2.8000000000000007</v>
      </c>
      <c r="AE60" s="2">
        <f t="shared" si="26"/>
        <v>-0.19999999999999973</v>
      </c>
      <c r="AF60" s="2">
        <f t="shared" si="27"/>
        <v>-0.40000000000000013</v>
      </c>
      <c r="AG60" s="2">
        <f t="shared" si="28"/>
        <v>-0.39999999999999991</v>
      </c>
      <c r="AH60" s="2">
        <f t="shared" si="29"/>
        <v>-0.80000000000000027</v>
      </c>
      <c r="AI60" s="2">
        <f t="shared" si="30"/>
        <v>0.8</v>
      </c>
    </row>
    <row r="61" spans="1:35" x14ac:dyDescent="0.25">
      <c r="A61" s="2">
        <v>7</v>
      </c>
      <c r="B61" s="2">
        <v>7</v>
      </c>
      <c r="C61" s="2">
        <v>8</v>
      </c>
      <c r="D61" s="2">
        <v>8</v>
      </c>
      <c r="E61" s="2">
        <v>9</v>
      </c>
      <c r="F61" s="2">
        <v>9</v>
      </c>
      <c r="G61" s="2">
        <v>0</v>
      </c>
      <c r="H61" s="2">
        <f t="shared" si="0"/>
        <v>7788990</v>
      </c>
      <c r="I61" s="2">
        <f t="shared" si="1"/>
        <v>1</v>
      </c>
      <c r="J61" s="2">
        <f t="shared" si="21"/>
        <v>41.600000000000009</v>
      </c>
      <c r="K61" s="2">
        <f t="shared" si="22"/>
        <v>1</v>
      </c>
      <c r="L61" s="12">
        <f t="shared" si="4"/>
        <v>0</v>
      </c>
      <c r="AB61" s="2">
        <f t="shared" ref="AB61:AB66" si="31">AB60+0.1*L61*A61</f>
        <v>2.8000000000000007</v>
      </c>
      <c r="AC61" s="2">
        <f t="shared" ref="AC61:AC66" si="32">AC60 + 0.1 * L61 * B61</f>
        <v>1.2</v>
      </c>
      <c r="AD61" s="2">
        <f t="shared" ref="AD61:AD66" si="33">AD60 + 0.1 * L61 * C61</f>
        <v>2.8000000000000007</v>
      </c>
      <c r="AE61" s="2">
        <f t="shared" ref="AE61:AE66" si="34">AE60 + 0.1 * L61 * D61</f>
        <v>-0.19999999999999973</v>
      </c>
      <c r="AF61" s="2">
        <f t="shared" ref="AF61:AF66" si="35">AF60 + 0.1 * L61 * E61</f>
        <v>-0.40000000000000013</v>
      </c>
      <c r="AG61" s="2">
        <f t="shared" ref="AG61:AG66" si="36">AG60 + 0.1 * L61 * F61</f>
        <v>-0.39999999999999991</v>
      </c>
      <c r="AH61" s="2">
        <f t="shared" ref="AH61:AH66" si="37">AH60 + 0.1 * L61 * G61</f>
        <v>-0.80000000000000027</v>
      </c>
      <c r="AI61" s="2">
        <f t="shared" ref="AI61:AI66" si="38">AI60 + 0.1 * L61</f>
        <v>0.8</v>
      </c>
    </row>
    <row r="62" spans="1:35" x14ac:dyDescent="0.25">
      <c r="A62" s="2">
        <v>8</v>
      </c>
      <c r="B62" s="2">
        <v>7</v>
      </c>
      <c r="C62" s="2">
        <v>6</v>
      </c>
      <c r="D62" s="2">
        <v>5</v>
      </c>
      <c r="E62" s="2">
        <v>4</v>
      </c>
      <c r="F62" s="2">
        <v>3</v>
      </c>
      <c r="G62" s="2">
        <v>2</v>
      </c>
      <c r="H62" s="2">
        <f t="shared" si="0"/>
        <v>8765432</v>
      </c>
      <c r="I62" s="2">
        <f t="shared" si="1"/>
        <v>1</v>
      </c>
      <c r="J62" s="2">
        <f t="shared" ref="J62:J67" si="39">A62*AB61+B62*AC61+C62*AD61+D62*AE61+E62*AF61+F62*AG61+G62*AH61</f>
        <v>42.2</v>
      </c>
      <c r="K62" s="2">
        <f t="shared" ref="K62:K67" si="40">IF(J62 +AI61 &gt;= 35, 1, -1)</f>
        <v>1</v>
      </c>
      <c r="L62" s="12">
        <f t="shared" ref="L62:L67" si="41">I62 - K62</f>
        <v>0</v>
      </c>
      <c r="AB62" s="2">
        <f t="shared" si="31"/>
        <v>2.8000000000000007</v>
      </c>
      <c r="AC62" s="2">
        <f t="shared" si="32"/>
        <v>1.2</v>
      </c>
      <c r="AD62" s="2">
        <f t="shared" si="33"/>
        <v>2.8000000000000007</v>
      </c>
      <c r="AE62" s="2">
        <f t="shared" si="34"/>
        <v>-0.19999999999999973</v>
      </c>
      <c r="AF62" s="2">
        <f t="shared" si="35"/>
        <v>-0.40000000000000013</v>
      </c>
      <c r="AG62" s="2">
        <f t="shared" si="36"/>
        <v>-0.39999999999999991</v>
      </c>
      <c r="AH62" s="2">
        <f t="shared" si="37"/>
        <v>-0.80000000000000027</v>
      </c>
      <c r="AI62" s="2">
        <f t="shared" si="38"/>
        <v>0.8</v>
      </c>
    </row>
    <row r="63" spans="1:35" x14ac:dyDescent="0.25">
      <c r="A63" s="2">
        <v>6</v>
      </c>
      <c r="B63" s="2">
        <v>7</v>
      </c>
      <c r="C63" s="2">
        <v>8</v>
      </c>
      <c r="D63" s="2">
        <v>9</v>
      </c>
      <c r="E63" s="2">
        <v>1</v>
      </c>
      <c r="F63" s="2">
        <v>2</v>
      </c>
      <c r="G63" s="2">
        <v>3</v>
      </c>
      <c r="H63" s="2">
        <f t="shared" si="0"/>
        <v>6789123</v>
      </c>
      <c r="I63" s="2">
        <f t="shared" si="1"/>
        <v>1</v>
      </c>
      <c r="J63" s="2">
        <f t="shared" si="39"/>
        <v>42.200000000000017</v>
      </c>
      <c r="K63" s="2">
        <f t="shared" si="40"/>
        <v>1</v>
      </c>
      <c r="L63" s="12">
        <f t="shared" si="41"/>
        <v>0</v>
      </c>
      <c r="AB63" s="2">
        <f t="shared" si="31"/>
        <v>2.8000000000000007</v>
      </c>
      <c r="AC63" s="2">
        <f t="shared" si="32"/>
        <v>1.2</v>
      </c>
      <c r="AD63" s="2">
        <f t="shared" si="33"/>
        <v>2.8000000000000007</v>
      </c>
      <c r="AE63" s="2">
        <f t="shared" si="34"/>
        <v>-0.19999999999999973</v>
      </c>
      <c r="AF63" s="2">
        <f t="shared" si="35"/>
        <v>-0.40000000000000013</v>
      </c>
      <c r="AG63" s="2">
        <f t="shared" si="36"/>
        <v>-0.39999999999999991</v>
      </c>
      <c r="AH63" s="2">
        <f t="shared" si="37"/>
        <v>-0.80000000000000027</v>
      </c>
      <c r="AI63" s="2">
        <f t="shared" si="38"/>
        <v>0.8</v>
      </c>
    </row>
    <row r="64" spans="1:35" x14ac:dyDescent="0.25">
      <c r="A64" s="2">
        <v>4</v>
      </c>
      <c r="B64" s="2">
        <v>5</v>
      </c>
      <c r="C64" s="2">
        <v>5</v>
      </c>
      <c r="D64" s="2">
        <v>6</v>
      </c>
      <c r="E64" s="2">
        <v>7</v>
      </c>
      <c r="F64" s="2">
        <v>8</v>
      </c>
      <c r="G64" s="2">
        <v>9</v>
      </c>
      <c r="H64" s="2">
        <f t="shared" si="0"/>
        <v>4556789</v>
      </c>
      <c r="I64" s="2">
        <f t="shared" si="1"/>
        <v>-1</v>
      </c>
      <c r="J64" s="2">
        <f t="shared" si="39"/>
        <v>16.800000000000004</v>
      </c>
      <c r="K64" s="2">
        <f t="shared" si="40"/>
        <v>-1</v>
      </c>
      <c r="L64" s="12">
        <f t="shared" si="41"/>
        <v>0</v>
      </c>
      <c r="AB64" s="2">
        <f t="shared" si="31"/>
        <v>2.8000000000000007</v>
      </c>
      <c r="AC64" s="2">
        <f t="shared" si="32"/>
        <v>1.2</v>
      </c>
      <c r="AD64" s="2">
        <f t="shared" si="33"/>
        <v>2.8000000000000007</v>
      </c>
      <c r="AE64" s="2">
        <f t="shared" si="34"/>
        <v>-0.19999999999999973</v>
      </c>
      <c r="AF64" s="2">
        <f t="shared" si="35"/>
        <v>-0.40000000000000013</v>
      </c>
      <c r="AG64" s="2">
        <f t="shared" si="36"/>
        <v>-0.39999999999999991</v>
      </c>
      <c r="AH64" s="2">
        <f t="shared" si="37"/>
        <v>-0.80000000000000027</v>
      </c>
      <c r="AI64" s="2">
        <f t="shared" si="38"/>
        <v>0.8</v>
      </c>
    </row>
    <row r="65" spans="1:35" x14ac:dyDescent="0.25">
      <c r="A65" s="2">
        <v>5</v>
      </c>
      <c r="B65" s="2">
        <v>1</v>
      </c>
      <c r="C65" s="2">
        <v>8</v>
      </c>
      <c r="D65" s="2">
        <v>1</v>
      </c>
      <c r="E65" s="2">
        <v>4</v>
      </c>
      <c r="F65" s="2">
        <v>6</v>
      </c>
      <c r="G65" s="2">
        <v>7</v>
      </c>
      <c r="H65" s="2">
        <f t="shared" si="0"/>
        <v>5181467</v>
      </c>
      <c r="I65" s="2">
        <f t="shared" si="1"/>
        <v>-1</v>
      </c>
      <c r="J65" s="2">
        <f t="shared" si="39"/>
        <v>27.800000000000004</v>
      </c>
      <c r="K65" s="2">
        <f t="shared" si="40"/>
        <v>-1</v>
      </c>
      <c r="L65" s="12">
        <f t="shared" si="41"/>
        <v>0</v>
      </c>
      <c r="AB65" s="2">
        <f t="shared" si="31"/>
        <v>2.8000000000000007</v>
      </c>
      <c r="AC65" s="2">
        <f t="shared" si="32"/>
        <v>1.2</v>
      </c>
      <c r="AD65" s="2">
        <f t="shared" si="33"/>
        <v>2.8000000000000007</v>
      </c>
      <c r="AE65" s="2">
        <f t="shared" si="34"/>
        <v>-0.19999999999999973</v>
      </c>
      <c r="AF65" s="2">
        <f t="shared" si="35"/>
        <v>-0.40000000000000013</v>
      </c>
      <c r="AG65" s="2">
        <f t="shared" si="36"/>
        <v>-0.39999999999999991</v>
      </c>
      <c r="AH65" s="2">
        <f t="shared" si="37"/>
        <v>-0.80000000000000027</v>
      </c>
      <c r="AI65" s="2">
        <f t="shared" si="38"/>
        <v>0.8</v>
      </c>
    </row>
    <row r="66" spans="1:35" x14ac:dyDescent="0.25">
      <c r="A66" s="2">
        <v>5</v>
      </c>
      <c r="B66" s="2">
        <v>1</v>
      </c>
      <c r="C66" s="2">
        <v>8</v>
      </c>
      <c r="D66" s="2">
        <v>2</v>
      </c>
      <c r="E66" s="2">
        <v>4</v>
      </c>
      <c r="F66" s="2">
        <v>6</v>
      </c>
      <c r="G66" s="2">
        <v>7</v>
      </c>
      <c r="H66" s="2">
        <f t="shared" si="0"/>
        <v>5182467</v>
      </c>
      <c r="I66" s="2">
        <f t="shared" si="1"/>
        <v>-1</v>
      </c>
      <c r="J66" s="2">
        <f t="shared" si="39"/>
        <v>27.600000000000009</v>
      </c>
      <c r="K66" s="2">
        <f t="shared" si="40"/>
        <v>-1</v>
      </c>
      <c r="L66" s="12">
        <f t="shared" si="41"/>
        <v>0</v>
      </c>
      <c r="AB66" s="2">
        <f t="shared" si="31"/>
        <v>2.8000000000000007</v>
      </c>
      <c r="AC66" s="2">
        <f t="shared" si="32"/>
        <v>1.2</v>
      </c>
      <c r="AD66" s="2">
        <f t="shared" si="33"/>
        <v>2.8000000000000007</v>
      </c>
      <c r="AE66" s="2">
        <f t="shared" si="34"/>
        <v>-0.19999999999999973</v>
      </c>
      <c r="AF66" s="2">
        <f t="shared" si="35"/>
        <v>-0.40000000000000013</v>
      </c>
      <c r="AG66" s="2">
        <f t="shared" si="36"/>
        <v>-0.39999999999999991</v>
      </c>
      <c r="AH66" s="2">
        <f t="shared" si="37"/>
        <v>-0.80000000000000027</v>
      </c>
      <c r="AI66" s="2">
        <f t="shared" si="38"/>
        <v>0.8</v>
      </c>
    </row>
    <row r="67" spans="1:35" x14ac:dyDescent="0.25">
      <c r="A67" s="2">
        <v>5</v>
      </c>
      <c r="B67" s="2">
        <v>3</v>
      </c>
      <c r="C67" s="2">
        <v>8</v>
      </c>
      <c r="D67" s="2">
        <v>2</v>
      </c>
      <c r="E67" s="2">
        <v>4</v>
      </c>
      <c r="F67" s="2">
        <v>6</v>
      </c>
      <c r="G67" s="2">
        <v>7</v>
      </c>
      <c r="H67" s="2">
        <f t="shared" si="0"/>
        <v>5382467</v>
      </c>
      <c r="I67" s="2">
        <f t="shared" si="1"/>
        <v>1</v>
      </c>
      <c r="J67" s="2">
        <f t="shared" si="39"/>
        <v>30.000000000000007</v>
      </c>
      <c r="K67" s="2">
        <f t="shared" si="40"/>
        <v>-1</v>
      </c>
      <c r="L67" s="12">
        <f t="shared" si="41"/>
        <v>2</v>
      </c>
      <c r="AB67" s="2">
        <f t="shared" ref="AB67:AB100" si="42">AB66+0.1*L67*A67</f>
        <v>3.8000000000000007</v>
      </c>
      <c r="AC67" s="2">
        <f t="shared" ref="AC67:AC100" si="43">AC66 + 0.1 * L67 * B67</f>
        <v>1.8</v>
      </c>
      <c r="AD67" s="2">
        <f t="shared" ref="AD67:AD100" si="44">AD66 + 0.1 * L67 * C67</f>
        <v>4.4000000000000004</v>
      </c>
      <c r="AE67" s="2">
        <f t="shared" ref="AE67:AE100" si="45">AE66 + 0.1 * L67 * D67</f>
        <v>0.20000000000000029</v>
      </c>
      <c r="AF67" s="2">
        <f t="shared" ref="AF67:AF100" si="46">AF66 + 0.1 * L67 * E67</f>
        <v>0.39999999999999991</v>
      </c>
      <c r="AG67" s="2">
        <f t="shared" ref="AG67:AG100" si="47">AG66 + 0.1 * L67 * F67</f>
        <v>0.80000000000000027</v>
      </c>
      <c r="AH67" s="2">
        <f t="shared" ref="AH67:AH100" si="48">AH66 + 0.1 * L67 * G67</f>
        <v>0.59999999999999987</v>
      </c>
      <c r="AI67" s="2">
        <f t="shared" ref="AI67:AI100" si="49">AI66 + 0.1 * L67</f>
        <v>1</v>
      </c>
    </row>
    <row r="68" spans="1:35" x14ac:dyDescent="0.25">
      <c r="A68" s="2">
        <v>5</v>
      </c>
      <c r="B68" s="2">
        <v>2</v>
      </c>
      <c r="C68" s="2">
        <v>8</v>
      </c>
      <c r="D68" s="2">
        <v>3</v>
      </c>
      <c r="E68" s="2">
        <v>4</v>
      </c>
      <c r="F68" s="2">
        <v>6</v>
      </c>
      <c r="G68" s="2">
        <v>7</v>
      </c>
      <c r="H68" s="2">
        <f t="shared" si="0"/>
        <v>5283467</v>
      </c>
      <c r="I68" s="2">
        <f t="shared" si="1"/>
        <v>1</v>
      </c>
      <c r="J68" s="2">
        <f t="shared" ref="J68:J100" si="50">A68*AB67+B68*AC67+C68*AD67+D68*AE67+E68*AF67+F68*AG67+G68*AH67</f>
        <v>69.000000000000014</v>
      </c>
      <c r="K68" s="2">
        <f t="shared" ref="K68:K100" si="51">IF(J68 +AI67 &gt;= 35, 1, -1)</f>
        <v>1</v>
      </c>
      <c r="L68" s="12">
        <f t="shared" ref="L68:L100" si="52">I68 - K68</f>
        <v>0</v>
      </c>
      <c r="AB68" s="2">
        <f t="shared" si="42"/>
        <v>3.8000000000000007</v>
      </c>
      <c r="AC68" s="2">
        <f t="shared" si="43"/>
        <v>1.8</v>
      </c>
      <c r="AD68" s="2">
        <f t="shared" si="44"/>
        <v>4.4000000000000004</v>
      </c>
      <c r="AE68" s="2">
        <f t="shared" si="45"/>
        <v>0.20000000000000029</v>
      </c>
      <c r="AF68" s="2">
        <f t="shared" si="46"/>
        <v>0.39999999999999991</v>
      </c>
      <c r="AG68" s="2">
        <f t="shared" si="47"/>
        <v>0.80000000000000027</v>
      </c>
      <c r="AH68" s="2">
        <f t="shared" si="48"/>
        <v>0.59999999999999987</v>
      </c>
      <c r="AI68" s="2">
        <f t="shared" si="49"/>
        <v>1</v>
      </c>
    </row>
    <row r="69" spans="1:35" x14ac:dyDescent="0.25">
      <c r="A69" s="2">
        <v>4</v>
      </c>
      <c r="B69" s="2">
        <v>5</v>
      </c>
      <c r="C69" s="2">
        <v>6</v>
      </c>
      <c r="D69" s="2">
        <v>7</v>
      </c>
      <c r="E69" s="2">
        <v>8</v>
      </c>
      <c r="F69" s="2">
        <v>9</v>
      </c>
      <c r="G69" s="2">
        <v>9</v>
      </c>
      <c r="H69" s="2">
        <f t="shared" si="0"/>
        <v>4567899</v>
      </c>
      <c r="I69" s="2">
        <f t="shared" ref="I69:I100" si="53">IF(H69 &gt;= 5282467, 1, -1)</f>
        <v>-1</v>
      </c>
      <c r="J69" s="2">
        <f t="shared" si="50"/>
        <v>67.800000000000011</v>
      </c>
      <c r="K69" s="2">
        <f t="shared" si="51"/>
        <v>1</v>
      </c>
      <c r="L69" s="12">
        <f t="shared" si="52"/>
        <v>-2</v>
      </c>
      <c r="AB69" s="2">
        <f t="shared" si="42"/>
        <v>3.0000000000000009</v>
      </c>
      <c r="AC69" s="2">
        <f t="shared" si="43"/>
        <v>0.8</v>
      </c>
      <c r="AD69" s="2">
        <f t="shared" si="44"/>
        <v>3.2</v>
      </c>
      <c r="AE69" s="2">
        <f t="shared" si="45"/>
        <v>-1.1999999999999997</v>
      </c>
      <c r="AF69" s="2">
        <f t="shared" si="46"/>
        <v>-1.2000000000000002</v>
      </c>
      <c r="AG69" s="2">
        <f t="shared" si="47"/>
        <v>-0.99999999999999978</v>
      </c>
      <c r="AH69" s="2">
        <f t="shared" si="48"/>
        <v>-1.2000000000000002</v>
      </c>
      <c r="AI69" s="2">
        <f t="shared" si="49"/>
        <v>0.8</v>
      </c>
    </row>
    <row r="70" spans="1:35" x14ac:dyDescent="0.25">
      <c r="A70" s="2">
        <v>4</v>
      </c>
      <c r="B70" s="2">
        <v>7</v>
      </c>
      <c r="C70" s="2">
        <v>7</v>
      </c>
      <c r="D70" s="2">
        <v>8</v>
      </c>
      <c r="E70" s="2">
        <v>9</v>
      </c>
      <c r="F70" s="2">
        <v>9</v>
      </c>
      <c r="G70" s="2">
        <v>9</v>
      </c>
      <c r="H70" s="2">
        <f t="shared" si="0"/>
        <v>4778999</v>
      </c>
      <c r="I70" s="2">
        <f t="shared" si="53"/>
        <v>-1</v>
      </c>
      <c r="J70" s="2">
        <f t="shared" si="50"/>
        <v>-0.19999999999999041</v>
      </c>
      <c r="K70" s="2">
        <f t="shared" si="51"/>
        <v>-1</v>
      </c>
      <c r="L70" s="12">
        <f t="shared" si="52"/>
        <v>0</v>
      </c>
      <c r="AB70" s="2">
        <f t="shared" si="42"/>
        <v>3.0000000000000009</v>
      </c>
      <c r="AC70" s="2">
        <f t="shared" si="43"/>
        <v>0.8</v>
      </c>
      <c r="AD70" s="2">
        <f t="shared" si="44"/>
        <v>3.2</v>
      </c>
      <c r="AE70" s="2">
        <f t="shared" si="45"/>
        <v>-1.1999999999999997</v>
      </c>
      <c r="AF70" s="2">
        <f t="shared" si="46"/>
        <v>-1.2000000000000002</v>
      </c>
      <c r="AG70" s="2">
        <f t="shared" si="47"/>
        <v>-0.99999999999999978</v>
      </c>
      <c r="AH70" s="2">
        <f t="shared" si="48"/>
        <v>-1.2000000000000002</v>
      </c>
      <c r="AI70" s="2">
        <f t="shared" si="49"/>
        <v>0.8</v>
      </c>
    </row>
    <row r="71" spans="1:35" x14ac:dyDescent="0.25">
      <c r="A71" s="2">
        <v>3</v>
      </c>
      <c r="B71" s="2">
        <v>4</v>
      </c>
      <c r="C71" s="2">
        <v>5</v>
      </c>
      <c r="D71" s="2">
        <v>6</v>
      </c>
      <c r="E71" s="2">
        <v>7</v>
      </c>
      <c r="F71" s="2">
        <v>8</v>
      </c>
      <c r="G71" s="2">
        <v>9</v>
      </c>
      <c r="H71" s="2">
        <f t="shared" si="0"/>
        <v>3456789</v>
      </c>
      <c r="I71" s="2">
        <f t="shared" si="53"/>
        <v>-1</v>
      </c>
      <c r="J71" s="2">
        <f t="shared" si="50"/>
        <v>-6.1999999999999975</v>
      </c>
      <c r="K71" s="2">
        <f t="shared" si="51"/>
        <v>-1</v>
      </c>
      <c r="L71" s="12">
        <f t="shared" si="52"/>
        <v>0</v>
      </c>
      <c r="AB71" s="2">
        <f t="shared" si="42"/>
        <v>3.0000000000000009</v>
      </c>
      <c r="AC71" s="2">
        <f t="shared" si="43"/>
        <v>0.8</v>
      </c>
      <c r="AD71" s="2">
        <f t="shared" si="44"/>
        <v>3.2</v>
      </c>
      <c r="AE71" s="2">
        <f t="shared" si="45"/>
        <v>-1.1999999999999997</v>
      </c>
      <c r="AF71" s="2">
        <f t="shared" si="46"/>
        <v>-1.2000000000000002</v>
      </c>
      <c r="AG71" s="2">
        <f t="shared" si="47"/>
        <v>-0.99999999999999978</v>
      </c>
      <c r="AH71" s="2">
        <f t="shared" si="48"/>
        <v>-1.2000000000000002</v>
      </c>
      <c r="AI71" s="2">
        <f t="shared" si="49"/>
        <v>0.8</v>
      </c>
    </row>
    <row r="72" spans="1:35" x14ac:dyDescent="0.25">
      <c r="A72" s="2">
        <v>5</v>
      </c>
      <c r="B72" s="2">
        <v>1</v>
      </c>
      <c r="C72" s="2">
        <v>6</v>
      </c>
      <c r="D72" s="2">
        <v>7</v>
      </c>
      <c r="E72" s="2">
        <v>8</v>
      </c>
      <c r="F72" s="2">
        <v>9</v>
      </c>
      <c r="G72" s="2">
        <v>9</v>
      </c>
      <c r="H72" s="2">
        <f t="shared" si="0"/>
        <v>5167899</v>
      </c>
      <c r="I72" s="2">
        <f t="shared" si="53"/>
        <v>-1</v>
      </c>
      <c r="J72" s="2">
        <f t="shared" si="50"/>
        <v>-2.7999999999999918</v>
      </c>
      <c r="K72" s="2">
        <f t="shared" si="51"/>
        <v>-1</v>
      </c>
      <c r="L72" s="12">
        <f t="shared" si="52"/>
        <v>0</v>
      </c>
      <c r="AB72" s="2">
        <f t="shared" si="42"/>
        <v>3.0000000000000009</v>
      </c>
      <c r="AC72" s="2">
        <f t="shared" si="43"/>
        <v>0.8</v>
      </c>
      <c r="AD72" s="2">
        <f t="shared" si="44"/>
        <v>3.2</v>
      </c>
      <c r="AE72" s="2">
        <f t="shared" si="45"/>
        <v>-1.1999999999999997</v>
      </c>
      <c r="AF72" s="2">
        <f t="shared" si="46"/>
        <v>-1.2000000000000002</v>
      </c>
      <c r="AG72" s="2">
        <f t="shared" si="47"/>
        <v>-0.99999999999999978</v>
      </c>
      <c r="AH72" s="2">
        <f t="shared" si="48"/>
        <v>-1.2000000000000002</v>
      </c>
      <c r="AI72" s="2">
        <f t="shared" si="49"/>
        <v>0.8</v>
      </c>
    </row>
    <row r="73" spans="1:35" x14ac:dyDescent="0.25">
      <c r="A73" s="2">
        <v>5</v>
      </c>
      <c r="B73" s="2">
        <v>0</v>
      </c>
      <c r="C73" s="2">
        <v>0</v>
      </c>
      <c r="D73" s="2">
        <v>9</v>
      </c>
      <c r="E73" s="2">
        <v>8</v>
      </c>
      <c r="F73" s="2">
        <v>7</v>
      </c>
      <c r="G73" s="2">
        <v>6</v>
      </c>
      <c r="H73" s="2">
        <f t="shared" si="0"/>
        <v>5009876</v>
      </c>
      <c r="I73" s="2">
        <f t="shared" si="53"/>
        <v>-1</v>
      </c>
      <c r="J73" s="2">
        <f t="shared" si="50"/>
        <v>-19.599999999999994</v>
      </c>
      <c r="K73" s="2">
        <f t="shared" si="51"/>
        <v>-1</v>
      </c>
      <c r="L73" s="12">
        <f t="shared" si="52"/>
        <v>0</v>
      </c>
      <c r="AB73" s="2">
        <f t="shared" si="42"/>
        <v>3.0000000000000009</v>
      </c>
      <c r="AC73" s="2">
        <f t="shared" si="43"/>
        <v>0.8</v>
      </c>
      <c r="AD73" s="2">
        <f t="shared" si="44"/>
        <v>3.2</v>
      </c>
      <c r="AE73" s="2">
        <f t="shared" si="45"/>
        <v>-1.1999999999999997</v>
      </c>
      <c r="AF73" s="2">
        <f t="shared" si="46"/>
        <v>-1.2000000000000002</v>
      </c>
      <c r="AG73" s="2">
        <f t="shared" si="47"/>
        <v>-0.99999999999999978</v>
      </c>
      <c r="AH73" s="2">
        <f t="shared" si="48"/>
        <v>-1.2000000000000002</v>
      </c>
      <c r="AI73" s="2">
        <f t="shared" si="49"/>
        <v>0.8</v>
      </c>
    </row>
    <row r="74" spans="1:35" x14ac:dyDescent="0.25">
      <c r="A74" s="2">
        <v>5</v>
      </c>
      <c r="B74" s="2">
        <v>0</v>
      </c>
      <c r="C74" s="2">
        <v>9</v>
      </c>
      <c r="D74" s="2">
        <v>9</v>
      </c>
      <c r="E74" s="2">
        <v>9</v>
      </c>
      <c r="F74" s="2">
        <v>9</v>
      </c>
      <c r="G74" s="2">
        <v>9</v>
      </c>
      <c r="H74" s="2">
        <f t="shared" si="0"/>
        <v>5099999</v>
      </c>
      <c r="I74" s="2">
        <f t="shared" si="53"/>
        <v>-1</v>
      </c>
      <c r="J74" s="2">
        <f t="shared" si="50"/>
        <v>2.4000000000000075</v>
      </c>
      <c r="K74" s="2">
        <f t="shared" si="51"/>
        <v>-1</v>
      </c>
      <c r="L74" s="12">
        <f t="shared" si="52"/>
        <v>0</v>
      </c>
      <c r="AB74" s="2">
        <f t="shared" si="42"/>
        <v>3.0000000000000009</v>
      </c>
      <c r="AC74" s="2">
        <f t="shared" si="43"/>
        <v>0.8</v>
      </c>
      <c r="AD74" s="2">
        <f t="shared" si="44"/>
        <v>3.2</v>
      </c>
      <c r="AE74" s="2">
        <f t="shared" si="45"/>
        <v>-1.1999999999999997</v>
      </c>
      <c r="AF74" s="2">
        <f t="shared" si="46"/>
        <v>-1.2000000000000002</v>
      </c>
      <c r="AG74" s="2">
        <f t="shared" si="47"/>
        <v>-0.99999999999999978</v>
      </c>
      <c r="AH74" s="2">
        <f t="shared" si="48"/>
        <v>-1.2000000000000002</v>
      </c>
      <c r="AI74" s="2">
        <f t="shared" si="49"/>
        <v>0.8</v>
      </c>
    </row>
    <row r="75" spans="1:35" x14ac:dyDescent="0.25">
      <c r="A75" s="2">
        <v>4</v>
      </c>
      <c r="B75" s="2">
        <v>5</v>
      </c>
      <c r="C75" s="2">
        <v>6</v>
      </c>
      <c r="D75" s="2">
        <v>7</v>
      </c>
      <c r="E75" s="2">
        <v>8</v>
      </c>
      <c r="F75" s="2">
        <v>9</v>
      </c>
      <c r="G75" s="2">
        <v>9</v>
      </c>
      <c r="H75" s="2">
        <f t="shared" si="0"/>
        <v>4567899</v>
      </c>
      <c r="I75" s="2">
        <f t="shared" si="53"/>
        <v>-1</v>
      </c>
      <c r="J75" s="2">
        <f t="shared" si="50"/>
        <v>-2.5999999999999961</v>
      </c>
      <c r="K75" s="2">
        <f t="shared" si="51"/>
        <v>-1</v>
      </c>
      <c r="L75" s="12">
        <f t="shared" si="52"/>
        <v>0</v>
      </c>
      <c r="AB75" s="2">
        <f t="shared" si="42"/>
        <v>3.0000000000000009</v>
      </c>
      <c r="AC75" s="2">
        <f t="shared" si="43"/>
        <v>0.8</v>
      </c>
      <c r="AD75" s="2">
        <f t="shared" si="44"/>
        <v>3.2</v>
      </c>
      <c r="AE75" s="2">
        <f t="shared" si="45"/>
        <v>-1.1999999999999997</v>
      </c>
      <c r="AF75" s="2">
        <f t="shared" si="46"/>
        <v>-1.2000000000000002</v>
      </c>
      <c r="AG75" s="2">
        <f t="shared" si="47"/>
        <v>-0.99999999999999978</v>
      </c>
      <c r="AH75" s="2">
        <f t="shared" si="48"/>
        <v>-1.2000000000000002</v>
      </c>
      <c r="AI75" s="2">
        <f t="shared" si="49"/>
        <v>0.8</v>
      </c>
    </row>
    <row r="76" spans="1:35" x14ac:dyDescent="0.25">
      <c r="A76" s="2">
        <v>4</v>
      </c>
      <c r="B76" s="2">
        <v>9</v>
      </c>
      <c r="C76" s="2">
        <v>8</v>
      </c>
      <c r="D76" s="2">
        <v>7</v>
      </c>
      <c r="E76" s="2">
        <v>6</v>
      </c>
      <c r="F76" s="2">
        <v>5</v>
      </c>
      <c r="G76" s="2">
        <v>4</v>
      </c>
      <c r="H76" s="2">
        <f t="shared" si="0"/>
        <v>4987654</v>
      </c>
      <c r="I76" s="2">
        <f t="shared" si="53"/>
        <v>-1</v>
      </c>
      <c r="J76" s="2">
        <f t="shared" si="50"/>
        <v>19.400000000000002</v>
      </c>
      <c r="K76" s="2">
        <f t="shared" si="51"/>
        <v>-1</v>
      </c>
      <c r="L76" s="12">
        <f t="shared" si="52"/>
        <v>0</v>
      </c>
      <c r="AB76" s="2">
        <f t="shared" si="42"/>
        <v>3.0000000000000009</v>
      </c>
      <c r="AC76" s="2">
        <f t="shared" si="43"/>
        <v>0.8</v>
      </c>
      <c r="AD76" s="2">
        <f t="shared" si="44"/>
        <v>3.2</v>
      </c>
      <c r="AE76" s="2">
        <f t="shared" si="45"/>
        <v>-1.1999999999999997</v>
      </c>
      <c r="AF76" s="2">
        <f t="shared" si="46"/>
        <v>-1.2000000000000002</v>
      </c>
      <c r="AG76" s="2">
        <f t="shared" si="47"/>
        <v>-0.99999999999999978</v>
      </c>
      <c r="AH76" s="2">
        <f t="shared" si="48"/>
        <v>-1.2000000000000002</v>
      </c>
      <c r="AI76" s="2">
        <f t="shared" si="49"/>
        <v>0.8</v>
      </c>
    </row>
    <row r="77" spans="1:35" x14ac:dyDescent="0.25">
      <c r="A77" s="2">
        <v>5</v>
      </c>
      <c r="B77" s="2">
        <v>2</v>
      </c>
      <c r="C77" s="2">
        <v>8</v>
      </c>
      <c r="D77" s="2">
        <v>0</v>
      </c>
      <c r="E77" s="2">
        <v>4</v>
      </c>
      <c r="F77" s="2">
        <v>6</v>
      </c>
      <c r="G77" s="2">
        <v>7</v>
      </c>
      <c r="H77" s="2">
        <f t="shared" si="0"/>
        <v>5280467</v>
      </c>
      <c r="I77" s="2">
        <f t="shared" si="53"/>
        <v>-1</v>
      </c>
      <c r="J77" s="2">
        <f t="shared" si="50"/>
        <v>23.000000000000004</v>
      </c>
      <c r="K77" s="2">
        <f t="shared" si="51"/>
        <v>-1</v>
      </c>
      <c r="L77" s="12">
        <f t="shared" si="52"/>
        <v>0</v>
      </c>
      <c r="AB77" s="2">
        <f t="shared" si="42"/>
        <v>3.0000000000000009</v>
      </c>
      <c r="AC77" s="2">
        <f t="shared" si="43"/>
        <v>0.8</v>
      </c>
      <c r="AD77" s="2">
        <f t="shared" si="44"/>
        <v>3.2</v>
      </c>
      <c r="AE77" s="2">
        <f t="shared" si="45"/>
        <v>-1.1999999999999997</v>
      </c>
      <c r="AF77" s="2">
        <f t="shared" si="46"/>
        <v>-1.2000000000000002</v>
      </c>
      <c r="AG77" s="2">
        <f t="shared" si="47"/>
        <v>-0.99999999999999978</v>
      </c>
      <c r="AH77" s="2">
        <f t="shared" si="48"/>
        <v>-1.2000000000000002</v>
      </c>
      <c r="AI77" s="2">
        <f t="shared" si="49"/>
        <v>0.8</v>
      </c>
    </row>
    <row r="78" spans="1:35" x14ac:dyDescent="0.25">
      <c r="A78" s="2">
        <v>5</v>
      </c>
      <c r="B78" s="2">
        <v>2</v>
      </c>
      <c r="C78" s="2">
        <v>8</v>
      </c>
      <c r="D78" s="2">
        <v>2</v>
      </c>
      <c r="E78" s="2">
        <v>4</v>
      </c>
      <c r="F78" s="2">
        <v>6</v>
      </c>
      <c r="G78" s="2">
        <v>8</v>
      </c>
      <c r="H78" s="2">
        <f t="shared" si="0"/>
        <v>5282468</v>
      </c>
      <c r="I78" s="2">
        <f t="shared" si="53"/>
        <v>1</v>
      </c>
      <c r="J78" s="2">
        <f t="shared" si="50"/>
        <v>19.399999999999999</v>
      </c>
      <c r="K78" s="2">
        <f t="shared" si="51"/>
        <v>-1</v>
      </c>
      <c r="L78" s="12">
        <f t="shared" si="52"/>
        <v>2</v>
      </c>
      <c r="AB78" s="2">
        <f t="shared" si="42"/>
        <v>4.0000000000000009</v>
      </c>
      <c r="AC78" s="2">
        <f t="shared" si="43"/>
        <v>1.2000000000000002</v>
      </c>
      <c r="AD78" s="2">
        <f t="shared" si="44"/>
        <v>4.8000000000000007</v>
      </c>
      <c r="AE78" s="2">
        <f t="shared" si="45"/>
        <v>-0.79999999999999971</v>
      </c>
      <c r="AF78" s="2">
        <f t="shared" si="46"/>
        <v>-0.40000000000000013</v>
      </c>
      <c r="AG78" s="2">
        <f t="shared" si="47"/>
        <v>0.2000000000000004</v>
      </c>
      <c r="AH78" s="2">
        <f t="shared" si="48"/>
        <v>0.39999999999999991</v>
      </c>
      <c r="AI78" s="2">
        <f t="shared" si="49"/>
        <v>1</v>
      </c>
    </row>
    <row r="79" spans="1:35" x14ac:dyDescent="0.25">
      <c r="A79" s="2">
        <v>5</v>
      </c>
      <c r="B79" s="2">
        <v>2</v>
      </c>
      <c r="C79" s="2">
        <v>8</v>
      </c>
      <c r="D79" s="2">
        <v>2</v>
      </c>
      <c r="E79" s="2">
        <v>4</v>
      </c>
      <c r="F79" s="2">
        <v>7</v>
      </c>
      <c r="G79" s="2">
        <v>7</v>
      </c>
      <c r="H79" s="2">
        <f t="shared" si="0"/>
        <v>5282477</v>
      </c>
      <c r="I79" s="2">
        <f t="shared" si="53"/>
        <v>1</v>
      </c>
      <c r="J79" s="2">
        <f t="shared" si="50"/>
        <v>61.800000000000011</v>
      </c>
      <c r="K79" s="2">
        <f t="shared" si="51"/>
        <v>1</v>
      </c>
      <c r="L79" s="12">
        <f t="shared" si="52"/>
        <v>0</v>
      </c>
      <c r="AB79" s="2">
        <f t="shared" si="42"/>
        <v>4.0000000000000009</v>
      </c>
      <c r="AC79" s="2">
        <f t="shared" si="43"/>
        <v>1.2000000000000002</v>
      </c>
      <c r="AD79" s="2">
        <f t="shared" si="44"/>
        <v>4.8000000000000007</v>
      </c>
      <c r="AE79" s="2">
        <f t="shared" si="45"/>
        <v>-0.79999999999999971</v>
      </c>
      <c r="AF79" s="2">
        <f t="shared" si="46"/>
        <v>-0.40000000000000013</v>
      </c>
      <c r="AG79" s="2">
        <f t="shared" si="47"/>
        <v>0.2000000000000004</v>
      </c>
      <c r="AH79" s="2">
        <f t="shared" si="48"/>
        <v>0.39999999999999991</v>
      </c>
      <c r="AI79" s="2">
        <f t="shared" si="49"/>
        <v>1</v>
      </c>
    </row>
    <row r="80" spans="1:35" x14ac:dyDescent="0.25">
      <c r="A80" s="2">
        <v>4</v>
      </c>
      <c r="B80" s="2">
        <v>9</v>
      </c>
      <c r="C80" s="2">
        <v>8</v>
      </c>
      <c r="D80" s="2">
        <v>7</v>
      </c>
      <c r="E80" s="2">
        <v>6</v>
      </c>
      <c r="F80" s="2">
        <v>5</v>
      </c>
      <c r="G80" s="2">
        <v>4</v>
      </c>
      <c r="H80" s="2">
        <f t="shared" si="0"/>
        <v>4987654</v>
      </c>
      <c r="I80" s="2">
        <f t="shared" si="53"/>
        <v>-1</v>
      </c>
      <c r="J80" s="2">
        <f t="shared" si="50"/>
        <v>59.800000000000026</v>
      </c>
      <c r="K80" s="2">
        <f t="shared" si="51"/>
        <v>1</v>
      </c>
      <c r="L80" s="12">
        <f t="shared" si="52"/>
        <v>-2</v>
      </c>
      <c r="AB80" s="2">
        <f t="shared" si="42"/>
        <v>3.2000000000000011</v>
      </c>
      <c r="AC80" s="2">
        <f t="shared" si="43"/>
        <v>-0.59999999999999987</v>
      </c>
      <c r="AD80" s="2">
        <f t="shared" si="44"/>
        <v>3.2000000000000006</v>
      </c>
      <c r="AE80" s="2">
        <f t="shared" si="45"/>
        <v>-2.1999999999999997</v>
      </c>
      <c r="AF80" s="2">
        <f t="shared" si="46"/>
        <v>-1.6000000000000003</v>
      </c>
      <c r="AG80" s="2">
        <f t="shared" si="47"/>
        <v>-0.7999999999999996</v>
      </c>
      <c r="AH80" s="2">
        <f t="shared" si="48"/>
        <v>-0.40000000000000013</v>
      </c>
      <c r="AI80" s="2">
        <f t="shared" si="49"/>
        <v>0.8</v>
      </c>
    </row>
    <row r="81" spans="1:35" x14ac:dyDescent="0.25">
      <c r="A81" s="2">
        <v>9</v>
      </c>
      <c r="B81" s="2">
        <v>9</v>
      </c>
      <c r="C81" s="2">
        <v>9</v>
      </c>
      <c r="D81" s="2">
        <v>8</v>
      </c>
      <c r="E81" s="2">
        <v>7</v>
      </c>
      <c r="F81" s="2">
        <v>6</v>
      </c>
      <c r="G81" s="2">
        <v>5</v>
      </c>
      <c r="H81" s="2">
        <f t="shared" si="0"/>
        <v>9998765</v>
      </c>
      <c r="I81" s="2">
        <f t="shared" si="53"/>
        <v>1</v>
      </c>
      <c r="J81" s="2">
        <f t="shared" si="50"/>
        <v>16.600000000000023</v>
      </c>
      <c r="K81" s="2">
        <f t="shared" si="51"/>
        <v>-1</v>
      </c>
      <c r="L81" s="12">
        <f t="shared" si="52"/>
        <v>2</v>
      </c>
      <c r="AB81" s="2">
        <f t="shared" si="42"/>
        <v>5.0000000000000009</v>
      </c>
      <c r="AC81" s="2">
        <f t="shared" si="43"/>
        <v>1.2000000000000002</v>
      </c>
      <c r="AD81" s="2">
        <f t="shared" si="44"/>
        <v>5.0000000000000009</v>
      </c>
      <c r="AE81" s="2">
        <f t="shared" si="45"/>
        <v>-0.59999999999999964</v>
      </c>
      <c r="AF81" s="2">
        <f t="shared" si="46"/>
        <v>-0.20000000000000018</v>
      </c>
      <c r="AG81" s="2">
        <f t="shared" si="47"/>
        <v>0.40000000000000058</v>
      </c>
      <c r="AH81" s="2">
        <f t="shared" si="48"/>
        <v>0.59999999999999987</v>
      </c>
      <c r="AI81" s="2">
        <f t="shared" si="49"/>
        <v>1</v>
      </c>
    </row>
    <row r="82" spans="1:35" x14ac:dyDescent="0.25">
      <c r="A82" s="2">
        <v>9</v>
      </c>
      <c r="B82" s="2">
        <v>8</v>
      </c>
      <c r="C82" s="2">
        <v>7</v>
      </c>
      <c r="D82" s="2">
        <v>6</v>
      </c>
      <c r="E82" s="2">
        <v>5</v>
      </c>
      <c r="F82" s="2">
        <v>4</v>
      </c>
      <c r="G82" s="2">
        <v>4</v>
      </c>
      <c r="H82" s="2">
        <f t="shared" si="0"/>
        <v>9876544</v>
      </c>
      <c r="I82" s="2">
        <f t="shared" si="53"/>
        <v>1</v>
      </c>
      <c r="J82" s="2">
        <f t="shared" si="50"/>
        <v>89.000000000000043</v>
      </c>
      <c r="K82" s="2">
        <f t="shared" si="51"/>
        <v>1</v>
      </c>
      <c r="L82" s="12">
        <f t="shared" si="52"/>
        <v>0</v>
      </c>
      <c r="AB82" s="2">
        <f t="shared" si="42"/>
        <v>5.0000000000000009</v>
      </c>
      <c r="AC82" s="2">
        <f t="shared" si="43"/>
        <v>1.2000000000000002</v>
      </c>
      <c r="AD82" s="2">
        <f t="shared" si="44"/>
        <v>5.0000000000000009</v>
      </c>
      <c r="AE82" s="2">
        <f t="shared" si="45"/>
        <v>-0.59999999999999964</v>
      </c>
      <c r="AF82" s="2">
        <f t="shared" si="46"/>
        <v>-0.20000000000000018</v>
      </c>
      <c r="AG82" s="2">
        <f t="shared" si="47"/>
        <v>0.40000000000000058</v>
      </c>
      <c r="AH82" s="2">
        <f t="shared" si="48"/>
        <v>0.59999999999999987</v>
      </c>
      <c r="AI82" s="2">
        <f t="shared" si="49"/>
        <v>1</v>
      </c>
    </row>
    <row r="83" spans="1:35" x14ac:dyDescent="0.25">
      <c r="A83" s="2">
        <v>5</v>
      </c>
      <c r="B83" s="2">
        <v>0</v>
      </c>
      <c r="C83" s="2">
        <v>0</v>
      </c>
      <c r="D83" s="2">
        <v>9</v>
      </c>
      <c r="E83" s="2">
        <v>9</v>
      </c>
      <c r="F83" s="2">
        <v>8</v>
      </c>
      <c r="G83" s="2">
        <v>7</v>
      </c>
      <c r="H83" s="2">
        <f t="shared" si="0"/>
        <v>5009987</v>
      </c>
      <c r="I83" s="2">
        <f t="shared" si="53"/>
        <v>-1</v>
      </c>
      <c r="J83" s="2">
        <f t="shared" si="50"/>
        <v>25.200000000000014</v>
      </c>
      <c r="K83" s="2">
        <f t="shared" si="51"/>
        <v>-1</v>
      </c>
      <c r="L83" s="12">
        <f t="shared" si="52"/>
        <v>0</v>
      </c>
      <c r="AB83" s="2">
        <f t="shared" si="42"/>
        <v>5.0000000000000009</v>
      </c>
      <c r="AC83" s="2">
        <f t="shared" si="43"/>
        <v>1.2000000000000002</v>
      </c>
      <c r="AD83" s="2">
        <f t="shared" si="44"/>
        <v>5.0000000000000009</v>
      </c>
      <c r="AE83" s="2">
        <f t="shared" si="45"/>
        <v>-0.59999999999999964</v>
      </c>
      <c r="AF83" s="2">
        <f t="shared" si="46"/>
        <v>-0.20000000000000018</v>
      </c>
      <c r="AG83" s="2">
        <f t="shared" si="47"/>
        <v>0.40000000000000058</v>
      </c>
      <c r="AH83" s="2">
        <f t="shared" si="48"/>
        <v>0.59999999999999987</v>
      </c>
      <c r="AI83" s="2">
        <f t="shared" si="49"/>
        <v>1</v>
      </c>
    </row>
    <row r="84" spans="1:35" x14ac:dyDescent="0.25">
      <c r="A84" s="2">
        <v>6</v>
      </c>
      <c r="B84" s="2">
        <v>2</v>
      </c>
      <c r="C84" s="2">
        <v>8</v>
      </c>
      <c r="D84" s="2">
        <v>2</v>
      </c>
      <c r="E84" s="2">
        <v>4</v>
      </c>
      <c r="F84" s="2">
        <v>6</v>
      </c>
      <c r="G84" s="2">
        <v>7</v>
      </c>
      <c r="H84" s="2">
        <f t="shared" si="0"/>
        <v>6282467</v>
      </c>
      <c r="I84" s="2">
        <f t="shared" si="53"/>
        <v>1</v>
      </c>
      <c r="J84" s="2">
        <f t="shared" si="50"/>
        <v>77.000000000000014</v>
      </c>
      <c r="K84" s="2">
        <f t="shared" si="51"/>
        <v>1</v>
      </c>
      <c r="L84" s="12">
        <f t="shared" si="52"/>
        <v>0</v>
      </c>
      <c r="AB84" s="2">
        <f t="shared" si="42"/>
        <v>5.0000000000000009</v>
      </c>
      <c r="AC84" s="2">
        <f t="shared" si="43"/>
        <v>1.2000000000000002</v>
      </c>
      <c r="AD84" s="2">
        <f t="shared" si="44"/>
        <v>5.0000000000000009</v>
      </c>
      <c r="AE84" s="2">
        <f t="shared" si="45"/>
        <v>-0.59999999999999964</v>
      </c>
      <c r="AF84" s="2">
        <f t="shared" si="46"/>
        <v>-0.20000000000000018</v>
      </c>
      <c r="AG84" s="2">
        <f t="shared" si="47"/>
        <v>0.40000000000000058</v>
      </c>
      <c r="AH84" s="2">
        <f t="shared" si="48"/>
        <v>0.59999999999999987</v>
      </c>
      <c r="AI84" s="2">
        <f t="shared" si="49"/>
        <v>1</v>
      </c>
    </row>
    <row r="85" spans="1:35" x14ac:dyDescent="0.25">
      <c r="A85" s="2">
        <v>4</v>
      </c>
      <c r="B85" s="2">
        <v>2</v>
      </c>
      <c r="C85" s="2">
        <v>8</v>
      </c>
      <c r="D85" s="2">
        <v>2</v>
      </c>
      <c r="E85" s="2">
        <v>4</v>
      </c>
      <c r="F85" s="2">
        <v>6</v>
      </c>
      <c r="G85" s="2">
        <v>7</v>
      </c>
      <c r="H85" s="2">
        <f t="shared" si="0"/>
        <v>4282467</v>
      </c>
      <c r="I85" s="2">
        <f t="shared" si="53"/>
        <v>-1</v>
      </c>
      <c r="J85" s="2">
        <f t="shared" si="50"/>
        <v>67.000000000000028</v>
      </c>
      <c r="K85" s="2">
        <f t="shared" si="51"/>
        <v>1</v>
      </c>
      <c r="L85" s="12">
        <f t="shared" si="52"/>
        <v>-2</v>
      </c>
      <c r="AB85" s="2">
        <f t="shared" si="42"/>
        <v>4.2000000000000011</v>
      </c>
      <c r="AC85" s="2">
        <f t="shared" si="43"/>
        <v>0.80000000000000016</v>
      </c>
      <c r="AD85" s="2">
        <f t="shared" si="44"/>
        <v>3.4000000000000008</v>
      </c>
      <c r="AE85" s="2">
        <f t="shared" si="45"/>
        <v>-0.99999999999999967</v>
      </c>
      <c r="AF85" s="2">
        <f t="shared" si="46"/>
        <v>-1.0000000000000002</v>
      </c>
      <c r="AG85" s="2">
        <f t="shared" si="47"/>
        <v>-0.7999999999999996</v>
      </c>
      <c r="AH85" s="2">
        <f t="shared" si="48"/>
        <v>-0.80000000000000027</v>
      </c>
      <c r="AI85" s="2">
        <f t="shared" si="49"/>
        <v>0.8</v>
      </c>
    </row>
    <row r="86" spans="1:35" x14ac:dyDescent="0.25">
      <c r="A86" s="2">
        <v>3</v>
      </c>
      <c r="B86" s="2">
        <v>4</v>
      </c>
      <c r="C86" s="2">
        <v>5</v>
      </c>
      <c r="D86" s="2">
        <v>6</v>
      </c>
      <c r="E86" s="2">
        <v>7</v>
      </c>
      <c r="F86" s="2">
        <v>8</v>
      </c>
      <c r="G86" s="2">
        <v>9</v>
      </c>
      <c r="H86" s="2">
        <f t="shared" si="0"/>
        <v>3456789</v>
      </c>
      <c r="I86" s="2">
        <f t="shared" si="53"/>
        <v>-1</v>
      </c>
      <c r="J86" s="2">
        <f t="shared" si="50"/>
        <v>6.2000000000000117</v>
      </c>
      <c r="K86" s="2">
        <f t="shared" si="51"/>
        <v>-1</v>
      </c>
      <c r="L86" s="12">
        <f t="shared" si="52"/>
        <v>0</v>
      </c>
      <c r="AB86" s="2">
        <f t="shared" si="42"/>
        <v>4.2000000000000011</v>
      </c>
      <c r="AC86" s="2">
        <f t="shared" si="43"/>
        <v>0.80000000000000016</v>
      </c>
      <c r="AD86" s="2">
        <f t="shared" si="44"/>
        <v>3.4000000000000008</v>
      </c>
      <c r="AE86" s="2">
        <f t="shared" si="45"/>
        <v>-0.99999999999999967</v>
      </c>
      <c r="AF86" s="2">
        <f t="shared" si="46"/>
        <v>-1.0000000000000002</v>
      </c>
      <c r="AG86" s="2">
        <f t="shared" si="47"/>
        <v>-0.7999999999999996</v>
      </c>
      <c r="AH86" s="2">
        <f t="shared" si="48"/>
        <v>-0.80000000000000027</v>
      </c>
      <c r="AI86" s="2">
        <f t="shared" si="49"/>
        <v>0.8</v>
      </c>
    </row>
    <row r="87" spans="1:35" x14ac:dyDescent="0.25">
      <c r="A87" s="2">
        <v>4</v>
      </c>
      <c r="B87" s="2">
        <v>4</v>
      </c>
      <c r="C87" s="2">
        <v>4</v>
      </c>
      <c r="D87" s="2">
        <v>9</v>
      </c>
      <c r="E87" s="2">
        <v>8</v>
      </c>
      <c r="F87" s="2">
        <v>7</v>
      </c>
      <c r="G87" s="2">
        <v>6</v>
      </c>
      <c r="H87" s="2">
        <f t="shared" si="0"/>
        <v>4449876</v>
      </c>
      <c r="I87" s="2">
        <f t="shared" si="53"/>
        <v>-1</v>
      </c>
      <c r="J87" s="2">
        <f t="shared" si="50"/>
        <v>6.2000000000000091</v>
      </c>
      <c r="K87" s="2">
        <f t="shared" si="51"/>
        <v>-1</v>
      </c>
      <c r="L87" s="12">
        <f t="shared" si="52"/>
        <v>0</v>
      </c>
      <c r="AB87" s="2">
        <f t="shared" si="42"/>
        <v>4.2000000000000011</v>
      </c>
      <c r="AC87" s="2">
        <f t="shared" si="43"/>
        <v>0.80000000000000016</v>
      </c>
      <c r="AD87" s="2">
        <f t="shared" si="44"/>
        <v>3.4000000000000008</v>
      </c>
      <c r="AE87" s="2">
        <f t="shared" si="45"/>
        <v>-0.99999999999999967</v>
      </c>
      <c r="AF87" s="2">
        <f t="shared" si="46"/>
        <v>-1.0000000000000002</v>
      </c>
      <c r="AG87" s="2">
        <f t="shared" si="47"/>
        <v>-0.7999999999999996</v>
      </c>
      <c r="AH87" s="2">
        <f t="shared" si="48"/>
        <v>-0.80000000000000027</v>
      </c>
      <c r="AI87" s="2">
        <f t="shared" si="49"/>
        <v>0.8</v>
      </c>
    </row>
    <row r="88" spans="1:35" x14ac:dyDescent="0.25">
      <c r="A88" s="2">
        <v>4</v>
      </c>
      <c r="B88" s="2">
        <v>9</v>
      </c>
      <c r="C88" s="2">
        <v>8</v>
      </c>
      <c r="D88" s="2">
        <v>7</v>
      </c>
      <c r="E88" s="2">
        <v>6</v>
      </c>
      <c r="F88" s="2">
        <v>5</v>
      </c>
      <c r="G88" s="2">
        <v>4</v>
      </c>
      <c r="H88" s="2">
        <f t="shared" si="0"/>
        <v>4987654</v>
      </c>
      <c r="I88" s="2">
        <f t="shared" si="53"/>
        <v>-1</v>
      </c>
      <c r="J88" s="2">
        <f t="shared" si="50"/>
        <v>31.000000000000014</v>
      </c>
      <c r="K88" s="2">
        <f t="shared" si="51"/>
        <v>-1</v>
      </c>
      <c r="L88" s="12">
        <f t="shared" si="52"/>
        <v>0</v>
      </c>
      <c r="AB88" s="2">
        <f t="shared" si="42"/>
        <v>4.2000000000000011</v>
      </c>
      <c r="AC88" s="2">
        <f t="shared" si="43"/>
        <v>0.80000000000000016</v>
      </c>
      <c r="AD88" s="2">
        <f t="shared" si="44"/>
        <v>3.4000000000000008</v>
      </c>
      <c r="AE88" s="2">
        <f t="shared" si="45"/>
        <v>-0.99999999999999967</v>
      </c>
      <c r="AF88" s="2">
        <f t="shared" si="46"/>
        <v>-1.0000000000000002</v>
      </c>
      <c r="AG88" s="2">
        <f t="shared" si="47"/>
        <v>-0.7999999999999996</v>
      </c>
      <c r="AH88" s="2">
        <f t="shared" si="48"/>
        <v>-0.80000000000000027</v>
      </c>
      <c r="AI88" s="2">
        <f t="shared" si="49"/>
        <v>0.8</v>
      </c>
    </row>
    <row r="89" spans="1:35" x14ac:dyDescent="0.25">
      <c r="A89" s="2">
        <v>4</v>
      </c>
      <c r="B89" s="2">
        <v>9</v>
      </c>
      <c r="C89" s="2">
        <v>9</v>
      </c>
      <c r="D89" s="2">
        <v>8</v>
      </c>
      <c r="E89" s="2">
        <v>7</v>
      </c>
      <c r="F89" s="2">
        <v>6</v>
      </c>
      <c r="G89" s="2">
        <v>5</v>
      </c>
      <c r="H89" s="2">
        <f t="shared" si="0"/>
        <v>4998765</v>
      </c>
      <c r="I89" s="2">
        <f t="shared" si="53"/>
        <v>-1</v>
      </c>
      <c r="J89" s="2">
        <f t="shared" si="50"/>
        <v>30.800000000000018</v>
      </c>
      <c r="K89" s="2">
        <f t="shared" si="51"/>
        <v>-1</v>
      </c>
      <c r="L89" s="12">
        <f t="shared" si="52"/>
        <v>0</v>
      </c>
      <c r="AB89" s="2">
        <f t="shared" si="42"/>
        <v>4.2000000000000011</v>
      </c>
      <c r="AC89" s="2">
        <f t="shared" si="43"/>
        <v>0.80000000000000016</v>
      </c>
      <c r="AD89" s="2">
        <f t="shared" si="44"/>
        <v>3.4000000000000008</v>
      </c>
      <c r="AE89" s="2">
        <f t="shared" si="45"/>
        <v>-0.99999999999999967</v>
      </c>
      <c r="AF89" s="2">
        <f t="shared" si="46"/>
        <v>-1.0000000000000002</v>
      </c>
      <c r="AG89" s="2">
        <f t="shared" si="47"/>
        <v>-0.7999999999999996</v>
      </c>
      <c r="AH89" s="2">
        <f t="shared" si="48"/>
        <v>-0.80000000000000027</v>
      </c>
      <c r="AI89" s="2">
        <f t="shared" si="49"/>
        <v>0.8</v>
      </c>
    </row>
    <row r="90" spans="1:35" x14ac:dyDescent="0.25">
      <c r="A90" s="2">
        <v>5</v>
      </c>
      <c r="B90" s="2">
        <v>1</v>
      </c>
      <c r="C90" s="2">
        <v>1</v>
      </c>
      <c r="D90" s="2">
        <v>9</v>
      </c>
      <c r="E90" s="2">
        <v>8</v>
      </c>
      <c r="F90" s="2">
        <v>7</v>
      </c>
      <c r="G90" s="2">
        <v>6</v>
      </c>
      <c r="H90" s="2">
        <f t="shared" si="0"/>
        <v>5119876</v>
      </c>
      <c r="I90" s="2">
        <f t="shared" si="53"/>
        <v>-1</v>
      </c>
      <c r="J90" s="2">
        <f t="shared" si="50"/>
        <v>-2.1999999999999869</v>
      </c>
      <c r="K90" s="2">
        <f t="shared" si="51"/>
        <v>-1</v>
      </c>
      <c r="L90" s="12">
        <f t="shared" si="52"/>
        <v>0</v>
      </c>
      <c r="AB90" s="2">
        <f t="shared" si="42"/>
        <v>4.2000000000000011</v>
      </c>
      <c r="AC90" s="2">
        <f t="shared" si="43"/>
        <v>0.80000000000000016</v>
      </c>
      <c r="AD90" s="2">
        <f t="shared" si="44"/>
        <v>3.4000000000000008</v>
      </c>
      <c r="AE90" s="2">
        <f t="shared" si="45"/>
        <v>-0.99999999999999967</v>
      </c>
      <c r="AF90" s="2">
        <f t="shared" si="46"/>
        <v>-1.0000000000000002</v>
      </c>
      <c r="AG90" s="2">
        <f t="shared" si="47"/>
        <v>-0.7999999999999996</v>
      </c>
      <c r="AH90" s="2">
        <f t="shared" si="48"/>
        <v>-0.80000000000000027</v>
      </c>
      <c r="AI90" s="2">
        <f t="shared" si="49"/>
        <v>0.8</v>
      </c>
    </row>
    <row r="91" spans="1:35" x14ac:dyDescent="0.25">
      <c r="A91" s="2">
        <v>5</v>
      </c>
      <c r="B91" s="2">
        <v>2</v>
      </c>
      <c r="C91" s="2">
        <v>2</v>
      </c>
      <c r="D91" s="2">
        <v>9</v>
      </c>
      <c r="E91" s="2">
        <v>8</v>
      </c>
      <c r="F91" s="2">
        <v>7</v>
      </c>
      <c r="G91" s="2">
        <v>6</v>
      </c>
      <c r="H91" s="2">
        <f t="shared" si="0"/>
        <v>5229876</v>
      </c>
      <c r="I91" s="2">
        <f t="shared" si="53"/>
        <v>-1</v>
      </c>
      <c r="J91" s="2">
        <f t="shared" si="50"/>
        <v>2.0000000000000124</v>
      </c>
      <c r="K91" s="2">
        <f t="shared" si="51"/>
        <v>-1</v>
      </c>
      <c r="L91" s="12">
        <f t="shared" si="52"/>
        <v>0</v>
      </c>
      <c r="AB91" s="2">
        <f t="shared" si="42"/>
        <v>4.2000000000000011</v>
      </c>
      <c r="AC91" s="2">
        <f t="shared" si="43"/>
        <v>0.80000000000000016</v>
      </c>
      <c r="AD91" s="2">
        <f t="shared" si="44"/>
        <v>3.4000000000000008</v>
      </c>
      <c r="AE91" s="2">
        <f t="shared" si="45"/>
        <v>-0.99999999999999967</v>
      </c>
      <c r="AF91" s="2">
        <f t="shared" si="46"/>
        <v>-1.0000000000000002</v>
      </c>
      <c r="AG91" s="2">
        <f t="shared" si="47"/>
        <v>-0.7999999999999996</v>
      </c>
      <c r="AH91" s="2">
        <f t="shared" si="48"/>
        <v>-0.80000000000000027</v>
      </c>
      <c r="AI91" s="2">
        <f t="shared" si="49"/>
        <v>0.8</v>
      </c>
    </row>
    <row r="92" spans="1:35" x14ac:dyDescent="0.25">
      <c r="A92" s="2">
        <v>9</v>
      </c>
      <c r="B92" s="2">
        <v>8</v>
      </c>
      <c r="C92" s="2">
        <v>7</v>
      </c>
      <c r="D92" s="2">
        <v>6</v>
      </c>
      <c r="E92" s="2">
        <v>5</v>
      </c>
      <c r="F92" s="2">
        <v>4</v>
      </c>
      <c r="G92" s="2">
        <v>3</v>
      </c>
      <c r="H92" s="2">
        <f t="shared" si="0"/>
        <v>9876543</v>
      </c>
      <c r="I92" s="2">
        <f t="shared" si="53"/>
        <v>1</v>
      </c>
      <c r="J92" s="2">
        <f t="shared" si="50"/>
        <v>51.40000000000002</v>
      </c>
      <c r="K92" s="2">
        <f t="shared" si="51"/>
        <v>1</v>
      </c>
      <c r="L92" s="12">
        <f t="shared" si="52"/>
        <v>0</v>
      </c>
      <c r="AB92" s="2">
        <f t="shared" si="42"/>
        <v>4.2000000000000011</v>
      </c>
      <c r="AC92" s="2">
        <f t="shared" si="43"/>
        <v>0.80000000000000016</v>
      </c>
      <c r="AD92" s="2">
        <f t="shared" si="44"/>
        <v>3.4000000000000008</v>
      </c>
      <c r="AE92" s="2">
        <f t="shared" si="45"/>
        <v>-0.99999999999999967</v>
      </c>
      <c r="AF92" s="2">
        <f t="shared" si="46"/>
        <v>-1.0000000000000002</v>
      </c>
      <c r="AG92" s="2">
        <f t="shared" si="47"/>
        <v>-0.7999999999999996</v>
      </c>
      <c r="AH92" s="2">
        <f t="shared" si="48"/>
        <v>-0.80000000000000027</v>
      </c>
      <c r="AI92" s="2">
        <f t="shared" si="49"/>
        <v>0.8</v>
      </c>
    </row>
    <row r="93" spans="1:35" x14ac:dyDescent="0.25">
      <c r="A93" s="2">
        <v>5</v>
      </c>
      <c r="B93" s="2">
        <v>2</v>
      </c>
      <c r="C93" s="2">
        <v>7</v>
      </c>
      <c r="D93" s="2">
        <v>2</v>
      </c>
      <c r="E93" s="2">
        <v>4</v>
      </c>
      <c r="F93" s="2">
        <v>6</v>
      </c>
      <c r="G93" s="2">
        <v>7</v>
      </c>
      <c r="H93" s="2">
        <f t="shared" si="0"/>
        <v>5272467</v>
      </c>
      <c r="I93" s="2">
        <f t="shared" si="53"/>
        <v>-1</v>
      </c>
      <c r="J93" s="2">
        <f t="shared" si="50"/>
        <v>30.000000000000014</v>
      </c>
      <c r="K93" s="2">
        <f t="shared" si="51"/>
        <v>-1</v>
      </c>
      <c r="L93" s="12">
        <f t="shared" si="52"/>
        <v>0</v>
      </c>
      <c r="AB93" s="2">
        <f t="shared" si="42"/>
        <v>4.2000000000000011</v>
      </c>
      <c r="AC93" s="2">
        <f t="shared" si="43"/>
        <v>0.80000000000000016</v>
      </c>
      <c r="AD93" s="2">
        <f t="shared" si="44"/>
        <v>3.4000000000000008</v>
      </c>
      <c r="AE93" s="2">
        <f t="shared" si="45"/>
        <v>-0.99999999999999967</v>
      </c>
      <c r="AF93" s="2">
        <f t="shared" si="46"/>
        <v>-1.0000000000000002</v>
      </c>
      <c r="AG93" s="2">
        <f t="shared" si="47"/>
        <v>-0.7999999999999996</v>
      </c>
      <c r="AH93" s="2">
        <f t="shared" si="48"/>
        <v>-0.80000000000000027</v>
      </c>
      <c r="AI93" s="2">
        <f t="shared" si="49"/>
        <v>0.8</v>
      </c>
    </row>
    <row r="94" spans="1:35" x14ac:dyDescent="0.25">
      <c r="A94" s="2">
        <v>7</v>
      </c>
      <c r="B94" s="2">
        <v>2</v>
      </c>
      <c r="C94" s="2">
        <v>8</v>
      </c>
      <c r="D94" s="2">
        <v>2</v>
      </c>
      <c r="E94" s="2">
        <v>4</v>
      </c>
      <c r="F94" s="2">
        <v>6</v>
      </c>
      <c r="G94" s="2">
        <v>7</v>
      </c>
      <c r="H94" s="2">
        <f t="shared" si="0"/>
        <v>7282467</v>
      </c>
      <c r="I94" s="2">
        <f t="shared" si="53"/>
        <v>1</v>
      </c>
      <c r="J94" s="2">
        <f t="shared" si="50"/>
        <v>41.800000000000018</v>
      </c>
      <c r="K94" s="2">
        <f t="shared" si="51"/>
        <v>1</v>
      </c>
      <c r="L94" s="12">
        <f t="shared" si="52"/>
        <v>0</v>
      </c>
      <c r="AB94" s="2">
        <f t="shared" si="42"/>
        <v>4.2000000000000011</v>
      </c>
      <c r="AC94" s="2">
        <f t="shared" si="43"/>
        <v>0.80000000000000016</v>
      </c>
      <c r="AD94" s="2">
        <f t="shared" si="44"/>
        <v>3.4000000000000008</v>
      </c>
      <c r="AE94" s="2">
        <f t="shared" si="45"/>
        <v>-0.99999999999999967</v>
      </c>
      <c r="AF94" s="2">
        <f t="shared" si="46"/>
        <v>-1.0000000000000002</v>
      </c>
      <c r="AG94" s="2">
        <f t="shared" si="47"/>
        <v>-0.7999999999999996</v>
      </c>
      <c r="AH94" s="2">
        <f t="shared" si="48"/>
        <v>-0.80000000000000027</v>
      </c>
      <c r="AI94" s="2">
        <f t="shared" si="49"/>
        <v>0.8</v>
      </c>
    </row>
    <row r="95" spans="1:35" x14ac:dyDescent="0.25">
      <c r="A95" s="2">
        <v>5</v>
      </c>
      <c r="B95" s="2">
        <v>1</v>
      </c>
      <c r="C95" s="2">
        <v>9</v>
      </c>
      <c r="D95" s="2">
        <v>8</v>
      </c>
      <c r="E95" s="2">
        <v>7</v>
      </c>
      <c r="F95" s="2">
        <v>6</v>
      </c>
      <c r="G95" s="2">
        <v>5</v>
      </c>
      <c r="H95" s="2">
        <f t="shared" si="0"/>
        <v>5198765</v>
      </c>
      <c r="I95" s="2">
        <f t="shared" si="53"/>
        <v>-1</v>
      </c>
      <c r="J95" s="2">
        <f t="shared" si="50"/>
        <v>28.600000000000023</v>
      </c>
      <c r="K95" s="2">
        <f t="shared" si="51"/>
        <v>-1</v>
      </c>
      <c r="L95" s="12">
        <f t="shared" si="52"/>
        <v>0</v>
      </c>
      <c r="AB95" s="2">
        <f t="shared" si="42"/>
        <v>4.2000000000000011</v>
      </c>
      <c r="AC95" s="2">
        <f t="shared" si="43"/>
        <v>0.80000000000000016</v>
      </c>
      <c r="AD95" s="2">
        <f t="shared" si="44"/>
        <v>3.4000000000000008</v>
      </c>
      <c r="AE95" s="2">
        <f t="shared" si="45"/>
        <v>-0.99999999999999967</v>
      </c>
      <c r="AF95" s="2">
        <f t="shared" si="46"/>
        <v>-1.0000000000000002</v>
      </c>
      <c r="AG95" s="2">
        <f t="shared" si="47"/>
        <v>-0.7999999999999996</v>
      </c>
      <c r="AH95" s="2">
        <f t="shared" si="48"/>
        <v>-0.80000000000000027</v>
      </c>
      <c r="AI95" s="2">
        <f t="shared" si="49"/>
        <v>0.8</v>
      </c>
    </row>
    <row r="96" spans="1:35" x14ac:dyDescent="0.25">
      <c r="A96" s="2">
        <v>5</v>
      </c>
      <c r="B96" s="2">
        <v>2</v>
      </c>
      <c r="C96" s="2">
        <v>2</v>
      </c>
      <c r="D96" s="2">
        <v>9</v>
      </c>
      <c r="E96" s="2">
        <v>8</v>
      </c>
      <c r="F96" s="2">
        <v>7</v>
      </c>
      <c r="G96" s="2">
        <v>6</v>
      </c>
      <c r="H96" s="2">
        <f t="shared" si="0"/>
        <v>5229876</v>
      </c>
      <c r="I96" s="2">
        <f t="shared" si="53"/>
        <v>-1</v>
      </c>
      <c r="J96" s="2">
        <f t="shared" si="50"/>
        <v>2.0000000000000124</v>
      </c>
      <c r="K96" s="2">
        <f t="shared" si="51"/>
        <v>-1</v>
      </c>
      <c r="L96" s="12">
        <f t="shared" si="52"/>
        <v>0</v>
      </c>
      <c r="AB96" s="2">
        <f t="shared" si="42"/>
        <v>4.2000000000000011</v>
      </c>
      <c r="AC96" s="2">
        <f t="shared" si="43"/>
        <v>0.80000000000000016</v>
      </c>
      <c r="AD96" s="2">
        <f t="shared" si="44"/>
        <v>3.4000000000000008</v>
      </c>
      <c r="AE96" s="2">
        <f t="shared" si="45"/>
        <v>-0.99999999999999967</v>
      </c>
      <c r="AF96" s="2">
        <f t="shared" si="46"/>
        <v>-1.0000000000000002</v>
      </c>
      <c r="AG96" s="2">
        <f t="shared" si="47"/>
        <v>-0.7999999999999996</v>
      </c>
      <c r="AH96" s="2">
        <f t="shared" si="48"/>
        <v>-0.80000000000000027</v>
      </c>
      <c r="AI96" s="2">
        <f t="shared" si="49"/>
        <v>0.8</v>
      </c>
    </row>
    <row r="97" spans="1:35" x14ac:dyDescent="0.25">
      <c r="A97" s="2">
        <v>7</v>
      </c>
      <c r="B97" s="2">
        <v>7</v>
      </c>
      <c r="C97" s="2">
        <v>7</v>
      </c>
      <c r="D97" s="2">
        <v>8</v>
      </c>
      <c r="E97" s="2">
        <v>9</v>
      </c>
      <c r="F97" s="2">
        <v>9</v>
      </c>
      <c r="G97" s="2">
        <v>9</v>
      </c>
      <c r="H97" s="2">
        <f t="shared" si="0"/>
        <v>7778999</v>
      </c>
      <c r="I97" s="2">
        <f t="shared" si="53"/>
        <v>1</v>
      </c>
      <c r="J97" s="2">
        <f t="shared" si="50"/>
        <v>27.400000000000013</v>
      </c>
      <c r="K97" s="2">
        <f t="shared" si="51"/>
        <v>-1</v>
      </c>
      <c r="L97" s="12">
        <f t="shared" si="52"/>
        <v>2</v>
      </c>
      <c r="AB97" s="2">
        <f t="shared" si="42"/>
        <v>5.6000000000000014</v>
      </c>
      <c r="AC97" s="2">
        <f t="shared" si="43"/>
        <v>2.2000000000000002</v>
      </c>
      <c r="AD97" s="2">
        <f t="shared" si="44"/>
        <v>4.8000000000000007</v>
      </c>
      <c r="AE97" s="2">
        <f t="shared" si="45"/>
        <v>0.60000000000000042</v>
      </c>
      <c r="AF97" s="2">
        <f t="shared" si="46"/>
        <v>0.79999999999999982</v>
      </c>
      <c r="AG97" s="2">
        <f t="shared" si="47"/>
        <v>1.0000000000000004</v>
      </c>
      <c r="AH97" s="2">
        <f t="shared" si="48"/>
        <v>0.99999999999999978</v>
      </c>
      <c r="AI97" s="2">
        <f t="shared" si="49"/>
        <v>1</v>
      </c>
    </row>
    <row r="98" spans="1:35" x14ac:dyDescent="0.25">
      <c r="A98" s="2">
        <v>5</v>
      </c>
      <c r="B98" s="2">
        <v>0</v>
      </c>
      <c r="C98" s="2">
        <v>0</v>
      </c>
      <c r="D98" s="2">
        <v>8</v>
      </c>
      <c r="E98" s="2">
        <v>8</v>
      </c>
      <c r="F98" s="2">
        <v>9</v>
      </c>
      <c r="G98" s="2">
        <v>9</v>
      </c>
      <c r="H98" s="2">
        <f t="shared" si="0"/>
        <v>5008899</v>
      </c>
      <c r="I98" s="2">
        <f t="shared" si="53"/>
        <v>-1</v>
      </c>
      <c r="J98" s="2">
        <f t="shared" si="50"/>
        <v>57.200000000000017</v>
      </c>
      <c r="K98" s="2">
        <f t="shared" si="51"/>
        <v>1</v>
      </c>
      <c r="L98" s="12">
        <f t="shared" si="52"/>
        <v>-2</v>
      </c>
      <c r="AB98" s="2">
        <f t="shared" si="42"/>
        <v>4.6000000000000014</v>
      </c>
      <c r="AC98" s="2">
        <f t="shared" si="43"/>
        <v>2.2000000000000002</v>
      </c>
      <c r="AD98" s="2">
        <f t="shared" si="44"/>
        <v>4.8000000000000007</v>
      </c>
      <c r="AE98" s="2">
        <f t="shared" si="45"/>
        <v>-0.99999999999999967</v>
      </c>
      <c r="AF98" s="2">
        <f t="shared" si="46"/>
        <v>-0.80000000000000027</v>
      </c>
      <c r="AG98" s="2">
        <f t="shared" si="47"/>
        <v>-0.7999999999999996</v>
      </c>
      <c r="AH98" s="2">
        <f t="shared" si="48"/>
        <v>-0.80000000000000027</v>
      </c>
      <c r="AI98" s="2">
        <f t="shared" si="49"/>
        <v>0.8</v>
      </c>
    </row>
    <row r="99" spans="1:35" x14ac:dyDescent="0.25">
      <c r="A99" s="2">
        <v>5</v>
      </c>
      <c r="B99" s="2">
        <v>2</v>
      </c>
      <c r="C99" s="2">
        <v>8</v>
      </c>
      <c r="D99" s="2">
        <v>2</v>
      </c>
      <c r="E99" s="2">
        <v>4</v>
      </c>
      <c r="F99" s="2">
        <v>6</v>
      </c>
      <c r="G99" s="2">
        <v>7</v>
      </c>
      <c r="H99" s="2">
        <f t="shared" si="0"/>
        <v>5282467</v>
      </c>
      <c r="I99" s="2">
        <f t="shared" si="53"/>
        <v>1</v>
      </c>
      <c r="J99" s="2">
        <f t="shared" si="50"/>
        <v>50.20000000000001</v>
      </c>
      <c r="K99" s="2">
        <f t="shared" si="51"/>
        <v>1</v>
      </c>
      <c r="L99" s="12">
        <f t="shared" si="52"/>
        <v>0</v>
      </c>
      <c r="AB99" s="2">
        <f t="shared" si="42"/>
        <v>4.6000000000000014</v>
      </c>
      <c r="AC99" s="2">
        <f t="shared" si="43"/>
        <v>2.2000000000000002</v>
      </c>
      <c r="AD99" s="2">
        <f t="shared" si="44"/>
        <v>4.8000000000000007</v>
      </c>
      <c r="AE99" s="2">
        <f t="shared" si="45"/>
        <v>-0.99999999999999967</v>
      </c>
      <c r="AF99" s="2">
        <f t="shared" si="46"/>
        <v>-0.80000000000000027</v>
      </c>
      <c r="AG99" s="2">
        <f t="shared" si="47"/>
        <v>-0.7999999999999996</v>
      </c>
      <c r="AH99" s="2">
        <f t="shared" si="48"/>
        <v>-0.80000000000000027</v>
      </c>
      <c r="AI99" s="2">
        <f t="shared" si="49"/>
        <v>0.8</v>
      </c>
    </row>
    <row r="100" spans="1:35" x14ac:dyDescent="0.25">
      <c r="A100" s="2">
        <v>4</v>
      </c>
      <c r="B100" s="2">
        <v>5</v>
      </c>
      <c r="C100" s="2">
        <v>6</v>
      </c>
      <c r="D100" s="2">
        <v>7</v>
      </c>
      <c r="E100" s="2">
        <v>8</v>
      </c>
      <c r="F100" s="2">
        <v>9</v>
      </c>
      <c r="G100" s="2">
        <v>9</v>
      </c>
      <c r="H100" s="2">
        <f t="shared" si="0"/>
        <v>4567899</v>
      </c>
      <c r="I100" s="2">
        <f t="shared" si="53"/>
        <v>-1</v>
      </c>
      <c r="J100" s="2">
        <f t="shared" si="50"/>
        <v>30.400000000000013</v>
      </c>
      <c r="K100" s="2">
        <f t="shared" si="51"/>
        <v>-1</v>
      </c>
      <c r="L100" s="12">
        <f t="shared" si="52"/>
        <v>0</v>
      </c>
      <c r="AB100" s="2">
        <f t="shared" si="42"/>
        <v>4.6000000000000014</v>
      </c>
      <c r="AC100" s="2">
        <f t="shared" si="43"/>
        <v>2.2000000000000002</v>
      </c>
      <c r="AD100" s="2">
        <f t="shared" si="44"/>
        <v>4.8000000000000007</v>
      </c>
      <c r="AE100" s="2">
        <f t="shared" si="45"/>
        <v>-0.99999999999999967</v>
      </c>
      <c r="AF100" s="2">
        <f t="shared" si="46"/>
        <v>-0.80000000000000027</v>
      </c>
      <c r="AG100" s="2">
        <f t="shared" si="47"/>
        <v>-0.7999999999999996</v>
      </c>
      <c r="AH100" s="2">
        <f t="shared" si="48"/>
        <v>-0.80000000000000027</v>
      </c>
      <c r="AI100" s="2">
        <f t="shared" si="49"/>
        <v>0.8</v>
      </c>
    </row>
  </sheetData>
  <mergeCells count="2">
    <mergeCell ref="N3:P3"/>
    <mergeCell ref="N4:P4"/>
  </mergeCells>
  <conditionalFormatting sqref="L1:L61 L101:L1048576">
    <cfRule type="cellIs" dxfId="14" priority="6" operator="notEqual">
      <formula>0</formula>
    </cfRule>
  </conditionalFormatting>
  <conditionalFormatting sqref="L62:L66">
    <cfRule type="cellIs" dxfId="13" priority="5" operator="notEqual">
      <formula>0</formula>
    </cfRule>
  </conditionalFormatting>
  <conditionalFormatting sqref="L67">
    <cfRule type="cellIs" dxfId="12" priority="4" operator="notEqual">
      <formula>0</formula>
    </cfRule>
  </conditionalFormatting>
  <conditionalFormatting sqref="L68:L100">
    <cfRule type="cellIs" dxfId="11" priority="3" operator="notEqual">
      <formula>0</formula>
    </cfRule>
  </conditionalFormatting>
  <conditionalFormatting sqref="A2:K100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0"/>
  <sheetViews>
    <sheetView tabSelected="1" workbookViewId="0">
      <selection activeCell="N2" sqref="N2"/>
    </sheetView>
  </sheetViews>
  <sheetFormatPr defaultRowHeight="15" x14ac:dyDescent="0.25"/>
  <sheetData>
    <row r="1" spans="1:35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41</v>
      </c>
      <c r="I1" s="6" t="s">
        <v>42</v>
      </c>
      <c r="J1" s="6" t="s">
        <v>47</v>
      </c>
      <c r="K1" s="6" t="s">
        <v>44</v>
      </c>
      <c r="L1" s="6" t="s">
        <v>7</v>
      </c>
      <c r="AB1" s="2">
        <v>4.5999999999999996</v>
      </c>
      <c r="AC1" s="2">
        <v>2.2000000000000002</v>
      </c>
      <c r="AD1" s="2">
        <v>4.8</v>
      </c>
      <c r="AE1" s="2">
        <v>-1</v>
      </c>
      <c r="AF1" s="2">
        <v>-0.8</v>
      </c>
      <c r="AG1" s="2">
        <v>-0.8</v>
      </c>
      <c r="AH1" s="2">
        <v>-0.8</v>
      </c>
      <c r="AI1" s="2">
        <v>0.8</v>
      </c>
    </row>
    <row r="2" spans="1:35" x14ac:dyDescent="0.25">
      <c r="A2" s="2">
        <v>4</v>
      </c>
      <c r="B2" s="2">
        <v>2</v>
      </c>
      <c r="C2" s="2">
        <v>8</v>
      </c>
      <c r="D2" s="2">
        <v>2</v>
      </c>
      <c r="E2" s="2">
        <v>4</v>
      </c>
      <c r="F2" s="2">
        <v>6</v>
      </c>
      <c r="G2" s="2">
        <v>7</v>
      </c>
      <c r="H2" s="2">
        <f t="shared" ref="H2" si="0">VALUE(A2&amp;B2&amp;C2&amp;D2&amp;E2&amp;F2&amp;G2)</f>
        <v>4282467</v>
      </c>
      <c r="I2" s="2">
        <f t="shared" ref="I2:I65" si="1">IF(H2 &gt;= 5282467, 1, -1)</f>
        <v>-1</v>
      </c>
      <c r="J2" s="2">
        <f t="shared" ref="J2" si="2">A2*AB1+B2*AC1+C2*AD1+D2*AE1+E2*AF1+F2*AG1+G2*AH1</f>
        <v>45.599999999999987</v>
      </c>
      <c r="K2" s="2">
        <f t="shared" ref="K2" si="3">IF(J2 +AI1 &gt;= 35, 1, -1)</f>
        <v>1</v>
      </c>
      <c r="L2" s="12">
        <f t="shared" ref="L2" si="4">I2 - K2</f>
        <v>-2</v>
      </c>
      <c r="AB2" s="2">
        <f t="shared" ref="AB2" si="5">AB1+0.1*L2*A2</f>
        <v>3.8</v>
      </c>
      <c r="AC2" s="2">
        <f t="shared" ref="AC2" si="6">AC1 + 0.1 * L2 * B2</f>
        <v>1.8000000000000003</v>
      </c>
      <c r="AD2" s="2">
        <f t="shared" ref="AD2" si="7">AD1 + 0.1 * L2 * C2</f>
        <v>3.1999999999999997</v>
      </c>
      <c r="AE2" s="2">
        <f t="shared" ref="AE2" si="8">AE1 + 0.1 * L2 * D2</f>
        <v>-1.4</v>
      </c>
      <c r="AF2" s="2">
        <f t="shared" ref="AF2" si="9">AF1 + 0.1 * L2 * E2</f>
        <v>-1.6</v>
      </c>
      <c r="AG2" s="2">
        <f t="shared" ref="AG2" si="10">AG1 + 0.1 * L2 * F2</f>
        <v>-2</v>
      </c>
      <c r="AH2" s="2">
        <f t="shared" ref="AH2" si="11">AH1 + 0.1 * L2 * G2</f>
        <v>-2.2000000000000002</v>
      </c>
      <c r="AI2" s="2">
        <f t="shared" ref="AI2" si="12">AI1 + 0.1 * L2</f>
        <v>0.60000000000000009</v>
      </c>
    </row>
    <row r="3" spans="1:35" x14ac:dyDescent="0.25">
      <c r="A3" s="2">
        <v>3</v>
      </c>
      <c r="B3" s="2">
        <v>3</v>
      </c>
      <c r="C3" s="2">
        <v>3</v>
      </c>
      <c r="D3" s="2">
        <v>9</v>
      </c>
      <c r="E3" s="2">
        <v>8</v>
      </c>
      <c r="F3" s="2">
        <v>7</v>
      </c>
      <c r="G3" s="2">
        <v>6</v>
      </c>
      <c r="H3" s="2">
        <f t="shared" ref="H3:H51" si="13">VALUE(A3&amp;B3&amp;C3&amp;D3&amp;E3&amp;F3&amp;G3)</f>
        <v>3339876</v>
      </c>
      <c r="I3" s="2">
        <f t="shared" si="1"/>
        <v>-1</v>
      </c>
      <c r="J3" s="2">
        <f t="shared" ref="J3:J51" si="14">A3*AB2+B3*AC2+C3*AD2+D3*AE2+E3*AF2+F3*AG2+G3*AH2</f>
        <v>-26.200000000000003</v>
      </c>
      <c r="K3" s="2">
        <f t="shared" ref="K3:K51" si="15">IF(J3 +AI2 &gt;= 35, 1, -1)</f>
        <v>-1</v>
      </c>
      <c r="L3" s="12">
        <f t="shared" ref="L3:L51" si="16">I3 - K3</f>
        <v>0</v>
      </c>
      <c r="AB3" s="2">
        <f t="shared" ref="AB3:AB51" si="17">AB2+0.1*L3*A3</f>
        <v>3.8</v>
      </c>
      <c r="AC3" s="2">
        <f t="shared" ref="AC3:AC51" si="18">AC2 + 0.1 * L3 * B3</f>
        <v>1.8000000000000003</v>
      </c>
      <c r="AD3" s="2">
        <f t="shared" ref="AD3:AD51" si="19">AD2 + 0.1 * L3 * C3</f>
        <v>3.1999999999999997</v>
      </c>
      <c r="AE3" s="2">
        <f t="shared" ref="AE3:AE51" si="20">AE2 + 0.1 * L3 * D3</f>
        <v>-1.4</v>
      </c>
      <c r="AF3" s="2">
        <f t="shared" ref="AF3:AF51" si="21">AF2 + 0.1 * L3 * E3</f>
        <v>-1.6</v>
      </c>
      <c r="AG3" s="2">
        <f t="shared" ref="AG3:AG51" si="22">AG2 + 0.1 * L3 * F3</f>
        <v>-2</v>
      </c>
      <c r="AH3" s="2">
        <f t="shared" ref="AH3:AH51" si="23">AH2 + 0.1 * L3 * G3</f>
        <v>-2.2000000000000002</v>
      </c>
      <c r="AI3" s="2">
        <f t="shared" ref="AI3:AI51" si="24">AI2 + 0.1 * L3</f>
        <v>0.60000000000000009</v>
      </c>
    </row>
    <row r="4" spans="1:35" x14ac:dyDescent="0.25">
      <c r="A4" s="2">
        <v>1</v>
      </c>
      <c r="B4" s="2">
        <v>1</v>
      </c>
      <c r="C4" s="2">
        <v>1</v>
      </c>
      <c r="D4" s="2">
        <v>9</v>
      </c>
      <c r="E4" s="2">
        <v>9</v>
      </c>
      <c r="F4" s="2">
        <v>9</v>
      </c>
      <c r="G4" s="2">
        <v>9</v>
      </c>
      <c r="H4" s="2">
        <f t="shared" si="13"/>
        <v>1119999</v>
      </c>
      <c r="I4" s="2">
        <f t="shared" si="1"/>
        <v>-1</v>
      </c>
      <c r="J4" s="2">
        <f t="shared" si="14"/>
        <v>-56</v>
      </c>
      <c r="K4" s="2">
        <f t="shared" si="15"/>
        <v>-1</v>
      </c>
      <c r="L4" s="12">
        <f t="shared" si="16"/>
        <v>0</v>
      </c>
      <c r="N4" s="16" t="s">
        <v>50</v>
      </c>
      <c r="O4" s="16"/>
      <c r="P4" s="16"/>
      <c r="AB4" s="2">
        <f t="shared" si="17"/>
        <v>3.8</v>
      </c>
      <c r="AC4" s="2">
        <f t="shared" si="18"/>
        <v>1.8000000000000003</v>
      </c>
      <c r="AD4" s="2">
        <f t="shared" si="19"/>
        <v>3.1999999999999997</v>
      </c>
      <c r="AE4" s="2">
        <f t="shared" si="20"/>
        <v>-1.4</v>
      </c>
      <c r="AF4" s="2">
        <f t="shared" si="21"/>
        <v>-1.6</v>
      </c>
      <c r="AG4" s="2">
        <f t="shared" si="22"/>
        <v>-2</v>
      </c>
      <c r="AH4" s="2">
        <f t="shared" si="23"/>
        <v>-2.2000000000000002</v>
      </c>
      <c r="AI4" s="2">
        <f t="shared" si="24"/>
        <v>0.60000000000000009</v>
      </c>
    </row>
    <row r="5" spans="1:35" x14ac:dyDescent="0.25">
      <c r="A5" s="2">
        <v>1</v>
      </c>
      <c r="B5" s="2">
        <v>2</v>
      </c>
      <c r="C5" s="2">
        <v>2</v>
      </c>
      <c r="D5" s="2">
        <v>9</v>
      </c>
      <c r="E5" s="2">
        <v>8</v>
      </c>
      <c r="F5" s="2">
        <v>7</v>
      </c>
      <c r="G5" s="2">
        <v>6</v>
      </c>
      <c r="H5" s="2">
        <f t="shared" si="13"/>
        <v>1229876</v>
      </c>
      <c r="I5" s="2">
        <f t="shared" si="1"/>
        <v>-1</v>
      </c>
      <c r="J5" s="2">
        <f t="shared" si="14"/>
        <v>-38.800000000000004</v>
      </c>
      <c r="K5" s="2">
        <f t="shared" si="15"/>
        <v>-1</v>
      </c>
      <c r="L5" s="12">
        <f t="shared" si="16"/>
        <v>0</v>
      </c>
      <c r="N5" s="9">
        <f>COUNTIF(L2:L70, 0)/COUNTA(L2:L70)*100</f>
        <v>76.811594202898547</v>
      </c>
      <c r="O5" s="9"/>
      <c r="P5" s="9"/>
      <c r="AB5" s="2">
        <f t="shared" si="17"/>
        <v>3.8</v>
      </c>
      <c r="AC5" s="2">
        <f t="shared" si="18"/>
        <v>1.8000000000000003</v>
      </c>
      <c r="AD5" s="2">
        <f t="shared" si="19"/>
        <v>3.1999999999999997</v>
      </c>
      <c r="AE5" s="2">
        <f t="shared" si="20"/>
        <v>-1.4</v>
      </c>
      <c r="AF5" s="2">
        <f t="shared" si="21"/>
        <v>-1.6</v>
      </c>
      <c r="AG5" s="2">
        <f t="shared" si="22"/>
        <v>-2</v>
      </c>
      <c r="AH5" s="2">
        <f t="shared" si="23"/>
        <v>-2.2000000000000002</v>
      </c>
      <c r="AI5" s="2">
        <f t="shared" si="24"/>
        <v>0.60000000000000009</v>
      </c>
    </row>
    <row r="6" spans="1:35" x14ac:dyDescent="0.25">
      <c r="A6" s="2">
        <v>2</v>
      </c>
      <c r="B6" s="2">
        <v>2</v>
      </c>
      <c r="C6" s="2">
        <v>2</v>
      </c>
      <c r="D6" s="2">
        <v>8</v>
      </c>
      <c r="E6" s="2">
        <v>9</v>
      </c>
      <c r="F6" s="2">
        <v>9</v>
      </c>
      <c r="G6" s="2">
        <v>9</v>
      </c>
      <c r="H6" s="2">
        <f t="shared" si="13"/>
        <v>2228999</v>
      </c>
      <c r="I6" s="2">
        <f t="shared" si="1"/>
        <v>-1</v>
      </c>
      <c r="J6" s="2">
        <f t="shared" si="14"/>
        <v>-45.8</v>
      </c>
      <c r="K6" s="2">
        <f t="shared" si="15"/>
        <v>-1</v>
      </c>
      <c r="L6" s="12">
        <f t="shared" si="16"/>
        <v>0</v>
      </c>
      <c r="AB6" s="2">
        <f t="shared" si="17"/>
        <v>3.8</v>
      </c>
      <c r="AC6" s="2">
        <f t="shared" si="18"/>
        <v>1.8000000000000003</v>
      </c>
      <c r="AD6" s="2">
        <f t="shared" si="19"/>
        <v>3.1999999999999997</v>
      </c>
      <c r="AE6" s="2">
        <f t="shared" si="20"/>
        <v>-1.4</v>
      </c>
      <c r="AF6" s="2">
        <f t="shared" si="21"/>
        <v>-1.6</v>
      </c>
      <c r="AG6" s="2">
        <f t="shared" si="22"/>
        <v>-2</v>
      </c>
      <c r="AH6" s="2">
        <f t="shared" si="23"/>
        <v>-2.2000000000000002</v>
      </c>
      <c r="AI6" s="2">
        <f t="shared" si="24"/>
        <v>0.60000000000000009</v>
      </c>
    </row>
    <row r="7" spans="1:35" x14ac:dyDescent="0.25">
      <c r="A7" s="2">
        <v>5</v>
      </c>
      <c r="B7" s="2">
        <v>4</v>
      </c>
      <c r="C7" s="2">
        <v>4</v>
      </c>
      <c r="D7" s="2">
        <v>9</v>
      </c>
      <c r="E7" s="2">
        <v>8</v>
      </c>
      <c r="F7" s="2">
        <v>7</v>
      </c>
      <c r="G7" s="2">
        <v>6</v>
      </c>
      <c r="H7" s="2">
        <f t="shared" si="13"/>
        <v>5449876</v>
      </c>
      <c r="I7" s="2">
        <f t="shared" si="1"/>
        <v>1</v>
      </c>
      <c r="J7" s="2">
        <f t="shared" si="14"/>
        <v>-13.600000000000003</v>
      </c>
      <c r="K7" s="2">
        <f t="shared" si="15"/>
        <v>-1</v>
      </c>
      <c r="L7" s="12">
        <f t="shared" si="16"/>
        <v>2</v>
      </c>
      <c r="AB7" s="2">
        <f t="shared" si="17"/>
        <v>4.8</v>
      </c>
      <c r="AC7" s="2">
        <f t="shared" si="18"/>
        <v>2.6000000000000005</v>
      </c>
      <c r="AD7" s="2">
        <f t="shared" si="19"/>
        <v>4</v>
      </c>
      <c r="AE7" s="2">
        <f t="shared" si="20"/>
        <v>0.40000000000000013</v>
      </c>
      <c r="AF7" s="2">
        <f t="shared" si="21"/>
        <v>0</v>
      </c>
      <c r="AG7" s="2">
        <f t="shared" si="22"/>
        <v>-0.59999999999999987</v>
      </c>
      <c r="AH7" s="2">
        <f t="shared" si="23"/>
        <v>-1</v>
      </c>
      <c r="AI7" s="2">
        <f t="shared" si="24"/>
        <v>0.8</v>
      </c>
    </row>
    <row r="8" spans="1:35" x14ac:dyDescent="0.25">
      <c r="A8" s="2">
        <v>5</v>
      </c>
      <c r="B8" s="2">
        <v>4</v>
      </c>
      <c r="C8" s="2">
        <v>5</v>
      </c>
      <c r="D8" s="2">
        <v>9</v>
      </c>
      <c r="E8" s="2">
        <v>8</v>
      </c>
      <c r="F8" s="2">
        <v>7</v>
      </c>
      <c r="G8" s="2">
        <v>6</v>
      </c>
      <c r="H8" s="2">
        <f t="shared" si="13"/>
        <v>5459876</v>
      </c>
      <c r="I8" s="2">
        <f t="shared" si="1"/>
        <v>1</v>
      </c>
      <c r="J8" s="2">
        <f t="shared" si="14"/>
        <v>47.800000000000011</v>
      </c>
      <c r="K8" s="2">
        <f t="shared" si="15"/>
        <v>1</v>
      </c>
      <c r="L8" s="12">
        <f t="shared" si="16"/>
        <v>0</v>
      </c>
      <c r="AB8" s="2">
        <f t="shared" si="17"/>
        <v>4.8</v>
      </c>
      <c r="AC8" s="2">
        <f t="shared" si="18"/>
        <v>2.6000000000000005</v>
      </c>
      <c r="AD8" s="2">
        <f t="shared" si="19"/>
        <v>4</v>
      </c>
      <c r="AE8" s="2">
        <f t="shared" si="20"/>
        <v>0.40000000000000013</v>
      </c>
      <c r="AF8" s="2">
        <f t="shared" si="21"/>
        <v>0</v>
      </c>
      <c r="AG8" s="2">
        <f t="shared" si="22"/>
        <v>-0.59999999999999987</v>
      </c>
      <c r="AH8" s="2">
        <f t="shared" si="23"/>
        <v>-1</v>
      </c>
      <c r="AI8" s="2">
        <f t="shared" si="24"/>
        <v>0.8</v>
      </c>
    </row>
    <row r="9" spans="1:35" x14ac:dyDescent="0.25">
      <c r="A9" s="2">
        <v>9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2">
        <f t="shared" si="13"/>
        <v>9987654</v>
      </c>
      <c r="I9" s="2">
        <f t="shared" si="1"/>
        <v>1</v>
      </c>
      <c r="J9" s="2">
        <f t="shared" si="14"/>
        <v>94.399999999999991</v>
      </c>
      <c r="K9" s="2">
        <f t="shared" si="15"/>
        <v>1</v>
      </c>
      <c r="L9" s="12">
        <f t="shared" si="16"/>
        <v>0</v>
      </c>
      <c r="AB9" s="2">
        <f t="shared" si="17"/>
        <v>4.8</v>
      </c>
      <c r="AC9" s="2">
        <f t="shared" si="18"/>
        <v>2.6000000000000005</v>
      </c>
      <c r="AD9" s="2">
        <f t="shared" si="19"/>
        <v>4</v>
      </c>
      <c r="AE9" s="2">
        <f t="shared" si="20"/>
        <v>0.40000000000000013</v>
      </c>
      <c r="AF9" s="2">
        <f t="shared" si="21"/>
        <v>0</v>
      </c>
      <c r="AG9" s="2">
        <f t="shared" si="22"/>
        <v>-0.59999999999999987</v>
      </c>
      <c r="AH9" s="2">
        <f t="shared" si="23"/>
        <v>-1</v>
      </c>
      <c r="AI9" s="2">
        <f t="shared" si="24"/>
        <v>0.8</v>
      </c>
    </row>
    <row r="10" spans="1:35" x14ac:dyDescent="0.25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f t="shared" si="13"/>
        <v>1234567</v>
      </c>
      <c r="I10" s="2">
        <f t="shared" si="1"/>
        <v>-1</v>
      </c>
      <c r="J10" s="2">
        <f t="shared" si="14"/>
        <v>13.000000000000004</v>
      </c>
      <c r="K10" s="2">
        <f t="shared" si="15"/>
        <v>-1</v>
      </c>
      <c r="L10" s="12">
        <f t="shared" si="16"/>
        <v>0</v>
      </c>
      <c r="AB10" s="2">
        <f t="shared" si="17"/>
        <v>4.8</v>
      </c>
      <c r="AC10" s="2">
        <f t="shared" si="18"/>
        <v>2.6000000000000005</v>
      </c>
      <c r="AD10" s="2">
        <f t="shared" si="19"/>
        <v>4</v>
      </c>
      <c r="AE10" s="2">
        <f t="shared" si="20"/>
        <v>0.40000000000000013</v>
      </c>
      <c r="AF10" s="2">
        <f t="shared" si="21"/>
        <v>0</v>
      </c>
      <c r="AG10" s="2">
        <f t="shared" si="22"/>
        <v>-0.59999999999999987</v>
      </c>
      <c r="AH10" s="2">
        <f t="shared" si="23"/>
        <v>-1</v>
      </c>
      <c r="AI10" s="2">
        <f t="shared" si="24"/>
        <v>0.8</v>
      </c>
    </row>
    <row r="11" spans="1:35" x14ac:dyDescent="0.25">
      <c r="A11" s="2">
        <v>1</v>
      </c>
      <c r="B11" s="2">
        <v>1</v>
      </c>
      <c r="C11" s="2">
        <v>1</v>
      </c>
      <c r="D11" s="2">
        <v>9</v>
      </c>
      <c r="E11" s="2">
        <v>8</v>
      </c>
      <c r="F11" s="2">
        <v>7</v>
      </c>
      <c r="G11" s="2">
        <v>6</v>
      </c>
      <c r="H11" s="2">
        <f t="shared" si="13"/>
        <v>1119876</v>
      </c>
      <c r="I11" s="2">
        <f t="shared" si="1"/>
        <v>-1</v>
      </c>
      <c r="J11" s="2">
        <f t="shared" si="14"/>
        <v>4.8000000000000025</v>
      </c>
      <c r="K11" s="2">
        <f t="shared" si="15"/>
        <v>-1</v>
      </c>
      <c r="L11" s="12">
        <f t="shared" si="16"/>
        <v>0</v>
      </c>
      <c r="AB11" s="2">
        <f t="shared" si="17"/>
        <v>4.8</v>
      </c>
      <c r="AC11" s="2">
        <f t="shared" si="18"/>
        <v>2.6000000000000005</v>
      </c>
      <c r="AD11" s="2">
        <f t="shared" si="19"/>
        <v>4</v>
      </c>
      <c r="AE11" s="2">
        <f t="shared" si="20"/>
        <v>0.40000000000000013</v>
      </c>
      <c r="AF11" s="2">
        <f t="shared" si="21"/>
        <v>0</v>
      </c>
      <c r="AG11" s="2">
        <f t="shared" si="22"/>
        <v>-0.59999999999999987</v>
      </c>
      <c r="AH11" s="2">
        <f t="shared" si="23"/>
        <v>-1</v>
      </c>
      <c r="AI11" s="2">
        <f t="shared" si="24"/>
        <v>0.8</v>
      </c>
    </row>
    <row r="12" spans="1:35" x14ac:dyDescent="0.25">
      <c r="A12" s="2">
        <v>5</v>
      </c>
      <c r="B12" s="2">
        <v>1</v>
      </c>
      <c r="C12" s="2">
        <v>2</v>
      </c>
      <c r="D12" s="2">
        <v>2</v>
      </c>
      <c r="E12" s="2">
        <v>9</v>
      </c>
      <c r="F12" s="2">
        <v>9</v>
      </c>
      <c r="G12" s="2">
        <v>9</v>
      </c>
      <c r="H12" s="2">
        <f t="shared" si="13"/>
        <v>5122999</v>
      </c>
      <c r="I12" s="2">
        <f t="shared" si="1"/>
        <v>-1</v>
      </c>
      <c r="J12" s="2">
        <f t="shared" si="14"/>
        <v>21</v>
      </c>
      <c r="K12" s="2">
        <f t="shared" si="15"/>
        <v>-1</v>
      </c>
      <c r="L12" s="12">
        <f t="shared" si="16"/>
        <v>0</v>
      </c>
      <c r="AB12" s="2">
        <f t="shared" si="17"/>
        <v>4.8</v>
      </c>
      <c r="AC12" s="2">
        <f t="shared" si="18"/>
        <v>2.6000000000000005</v>
      </c>
      <c r="AD12" s="2">
        <f t="shared" si="19"/>
        <v>4</v>
      </c>
      <c r="AE12" s="2">
        <f t="shared" si="20"/>
        <v>0.40000000000000013</v>
      </c>
      <c r="AF12" s="2">
        <f t="shared" si="21"/>
        <v>0</v>
      </c>
      <c r="AG12" s="2">
        <f t="shared" si="22"/>
        <v>-0.59999999999999987</v>
      </c>
      <c r="AH12" s="2">
        <f t="shared" si="23"/>
        <v>-1</v>
      </c>
      <c r="AI12" s="2">
        <f t="shared" si="24"/>
        <v>0.8</v>
      </c>
    </row>
    <row r="13" spans="1:35" x14ac:dyDescent="0.25">
      <c r="A13" s="2">
        <v>0</v>
      </c>
      <c r="B13" s="2">
        <v>9</v>
      </c>
      <c r="C13" s="2">
        <v>9</v>
      </c>
      <c r="D13" s="2">
        <v>9</v>
      </c>
      <c r="E13" s="2">
        <v>8</v>
      </c>
      <c r="F13" s="2">
        <v>7</v>
      </c>
      <c r="G13" s="2">
        <v>6</v>
      </c>
      <c r="H13" s="2">
        <f t="shared" si="13"/>
        <v>999876</v>
      </c>
      <c r="I13" s="2">
        <f t="shared" si="1"/>
        <v>-1</v>
      </c>
      <c r="J13" s="2">
        <f t="shared" si="14"/>
        <v>52.800000000000011</v>
      </c>
      <c r="K13" s="2">
        <f t="shared" si="15"/>
        <v>1</v>
      </c>
      <c r="L13" s="12">
        <f t="shared" si="16"/>
        <v>-2</v>
      </c>
      <c r="AB13" s="2">
        <f t="shared" si="17"/>
        <v>4.8</v>
      </c>
      <c r="AC13" s="2">
        <f t="shared" si="18"/>
        <v>0.80000000000000049</v>
      </c>
      <c r="AD13" s="2">
        <f t="shared" si="19"/>
        <v>2.2000000000000002</v>
      </c>
      <c r="AE13" s="2">
        <f t="shared" si="20"/>
        <v>-1.4</v>
      </c>
      <c r="AF13" s="2">
        <f t="shared" si="21"/>
        <v>-1.6</v>
      </c>
      <c r="AG13" s="2">
        <f t="shared" si="22"/>
        <v>-2</v>
      </c>
      <c r="AH13" s="2">
        <f t="shared" si="23"/>
        <v>-2.2000000000000002</v>
      </c>
      <c r="AI13" s="2">
        <f t="shared" si="24"/>
        <v>0.60000000000000009</v>
      </c>
    </row>
    <row r="14" spans="1:35" x14ac:dyDescent="0.25">
      <c r="A14" s="2">
        <v>9</v>
      </c>
      <c r="B14" s="2">
        <v>0</v>
      </c>
      <c r="C14" s="2">
        <v>0</v>
      </c>
      <c r="D14" s="2">
        <v>8</v>
      </c>
      <c r="E14" s="2">
        <v>9</v>
      </c>
      <c r="F14" s="2">
        <v>0</v>
      </c>
      <c r="G14" s="2">
        <v>0</v>
      </c>
      <c r="H14" s="2">
        <f t="shared" si="13"/>
        <v>9008900</v>
      </c>
      <c r="I14" s="2">
        <f t="shared" si="1"/>
        <v>1</v>
      </c>
      <c r="J14" s="2">
        <f t="shared" si="14"/>
        <v>17.599999999999994</v>
      </c>
      <c r="K14" s="2">
        <f t="shared" si="15"/>
        <v>-1</v>
      </c>
      <c r="L14" s="12">
        <f t="shared" si="16"/>
        <v>2</v>
      </c>
      <c r="AB14" s="2">
        <f t="shared" si="17"/>
        <v>6.6</v>
      </c>
      <c r="AC14" s="2">
        <f t="shared" si="18"/>
        <v>0.80000000000000049</v>
      </c>
      <c r="AD14" s="2">
        <f t="shared" si="19"/>
        <v>2.2000000000000002</v>
      </c>
      <c r="AE14" s="2">
        <f t="shared" si="20"/>
        <v>0.20000000000000018</v>
      </c>
      <c r="AF14" s="2">
        <f t="shared" si="21"/>
        <v>0.19999999999999996</v>
      </c>
      <c r="AG14" s="2">
        <f t="shared" si="22"/>
        <v>-2</v>
      </c>
      <c r="AH14" s="2">
        <f t="shared" si="23"/>
        <v>-2.2000000000000002</v>
      </c>
      <c r="AI14" s="2">
        <f t="shared" si="24"/>
        <v>0.8</v>
      </c>
    </row>
    <row r="15" spans="1:35" x14ac:dyDescent="0.25">
      <c r="A15" s="2">
        <v>9</v>
      </c>
      <c r="B15" s="2">
        <v>1</v>
      </c>
      <c r="C15" s="2">
        <v>1</v>
      </c>
      <c r="D15" s="2">
        <v>9</v>
      </c>
      <c r="E15" s="2">
        <v>8</v>
      </c>
      <c r="F15" s="2">
        <v>7</v>
      </c>
      <c r="G15" s="2">
        <v>6</v>
      </c>
      <c r="H15" s="2">
        <f t="shared" si="13"/>
        <v>9119876</v>
      </c>
      <c r="I15" s="2">
        <f t="shared" si="1"/>
        <v>1</v>
      </c>
      <c r="J15" s="2">
        <f t="shared" si="14"/>
        <v>38.599999999999994</v>
      </c>
      <c r="K15" s="2">
        <f t="shared" si="15"/>
        <v>1</v>
      </c>
      <c r="L15" s="12">
        <f t="shared" si="16"/>
        <v>0</v>
      </c>
      <c r="AB15" s="2">
        <f t="shared" si="17"/>
        <v>6.6</v>
      </c>
      <c r="AC15" s="2">
        <f t="shared" si="18"/>
        <v>0.80000000000000049</v>
      </c>
      <c r="AD15" s="2">
        <f t="shared" si="19"/>
        <v>2.2000000000000002</v>
      </c>
      <c r="AE15" s="2">
        <f t="shared" si="20"/>
        <v>0.20000000000000018</v>
      </c>
      <c r="AF15" s="2">
        <f t="shared" si="21"/>
        <v>0.19999999999999996</v>
      </c>
      <c r="AG15" s="2">
        <f t="shared" si="22"/>
        <v>-2</v>
      </c>
      <c r="AH15" s="2">
        <f t="shared" si="23"/>
        <v>-2.2000000000000002</v>
      </c>
      <c r="AI15" s="2">
        <f t="shared" si="24"/>
        <v>0.8</v>
      </c>
    </row>
    <row r="16" spans="1:35" x14ac:dyDescent="0.25">
      <c r="A16" s="2">
        <v>1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G16" s="2">
        <v>6</v>
      </c>
      <c r="H16" s="2">
        <f t="shared" si="13"/>
        <v>1123456</v>
      </c>
      <c r="I16" s="2">
        <f t="shared" si="1"/>
        <v>-1</v>
      </c>
      <c r="J16" s="2">
        <f t="shared" si="14"/>
        <v>-9.9999999999999982</v>
      </c>
      <c r="K16" s="2">
        <f t="shared" si="15"/>
        <v>-1</v>
      </c>
      <c r="L16" s="12">
        <f t="shared" si="16"/>
        <v>0</v>
      </c>
      <c r="AB16" s="2">
        <f t="shared" si="17"/>
        <v>6.6</v>
      </c>
      <c r="AC16" s="2">
        <f t="shared" si="18"/>
        <v>0.80000000000000049</v>
      </c>
      <c r="AD16" s="2">
        <f t="shared" si="19"/>
        <v>2.2000000000000002</v>
      </c>
      <c r="AE16" s="2">
        <f t="shared" si="20"/>
        <v>0.20000000000000018</v>
      </c>
      <c r="AF16" s="2">
        <f t="shared" si="21"/>
        <v>0.19999999999999996</v>
      </c>
      <c r="AG16" s="2">
        <f t="shared" si="22"/>
        <v>-2</v>
      </c>
      <c r="AH16" s="2">
        <f t="shared" si="23"/>
        <v>-2.2000000000000002</v>
      </c>
      <c r="AI16" s="2">
        <f t="shared" si="24"/>
        <v>0.8</v>
      </c>
    </row>
    <row r="17" spans="1:35" x14ac:dyDescent="0.25">
      <c r="A17" s="2">
        <v>1</v>
      </c>
      <c r="B17" s="2">
        <v>1</v>
      </c>
      <c r="C17" s="2">
        <v>9</v>
      </c>
      <c r="D17" s="2">
        <v>9</v>
      </c>
      <c r="E17" s="2">
        <v>9</v>
      </c>
      <c r="F17" s="2">
        <v>8</v>
      </c>
      <c r="G17" s="2">
        <v>8</v>
      </c>
      <c r="H17" s="2">
        <f t="shared" si="13"/>
        <v>1199988</v>
      </c>
      <c r="I17" s="2">
        <f t="shared" si="1"/>
        <v>-1</v>
      </c>
      <c r="J17" s="2">
        <f t="shared" si="14"/>
        <v>-2.7999999999999972</v>
      </c>
      <c r="K17" s="2">
        <f t="shared" si="15"/>
        <v>-1</v>
      </c>
      <c r="L17" s="12">
        <f t="shared" si="16"/>
        <v>0</v>
      </c>
      <c r="AB17" s="2">
        <f t="shared" si="17"/>
        <v>6.6</v>
      </c>
      <c r="AC17" s="2">
        <f t="shared" si="18"/>
        <v>0.80000000000000049</v>
      </c>
      <c r="AD17" s="2">
        <f t="shared" si="19"/>
        <v>2.2000000000000002</v>
      </c>
      <c r="AE17" s="2">
        <f t="shared" si="20"/>
        <v>0.20000000000000018</v>
      </c>
      <c r="AF17" s="2">
        <f t="shared" si="21"/>
        <v>0.19999999999999996</v>
      </c>
      <c r="AG17" s="2">
        <f t="shared" si="22"/>
        <v>-2</v>
      </c>
      <c r="AH17" s="2">
        <f t="shared" si="23"/>
        <v>-2.2000000000000002</v>
      </c>
      <c r="AI17" s="2">
        <f t="shared" si="24"/>
        <v>0.8</v>
      </c>
    </row>
    <row r="18" spans="1:35" x14ac:dyDescent="0.25">
      <c r="A18" s="2">
        <v>1</v>
      </c>
      <c r="B18" s="2">
        <v>2</v>
      </c>
      <c r="C18" s="2">
        <v>9</v>
      </c>
      <c r="D18" s="2">
        <v>9</v>
      </c>
      <c r="E18" s="2">
        <v>7</v>
      </c>
      <c r="F18" s="2">
        <v>7</v>
      </c>
      <c r="G18" s="2">
        <v>6</v>
      </c>
      <c r="H18" s="2">
        <f t="shared" si="13"/>
        <v>1299776</v>
      </c>
      <c r="I18" s="2">
        <f t="shared" si="1"/>
        <v>-1</v>
      </c>
      <c r="J18" s="2">
        <f t="shared" si="14"/>
        <v>3.9999999999999982</v>
      </c>
      <c r="K18" s="2">
        <f t="shared" si="15"/>
        <v>-1</v>
      </c>
      <c r="L18" s="12">
        <f t="shared" si="16"/>
        <v>0</v>
      </c>
      <c r="AB18" s="2">
        <f t="shared" si="17"/>
        <v>6.6</v>
      </c>
      <c r="AC18" s="2">
        <f t="shared" si="18"/>
        <v>0.80000000000000049</v>
      </c>
      <c r="AD18" s="2">
        <f t="shared" si="19"/>
        <v>2.2000000000000002</v>
      </c>
      <c r="AE18" s="2">
        <f t="shared" si="20"/>
        <v>0.20000000000000018</v>
      </c>
      <c r="AF18" s="2">
        <f t="shared" si="21"/>
        <v>0.19999999999999996</v>
      </c>
      <c r="AG18" s="2">
        <f t="shared" si="22"/>
        <v>-2</v>
      </c>
      <c r="AH18" s="2">
        <f t="shared" si="23"/>
        <v>-2.2000000000000002</v>
      </c>
      <c r="AI18" s="2">
        <f t="shared" si="24"/>
        <v>0.8</v>
      </c>
    </row>
    <row r="19" spans="1:35" x14ac:dyDescent="0.25">
      <c r="A19" s="2">
        <v>9</v>
      </c>
      <c r="B19" s="2">
        <v>8</v>
      </c>
      <c r="C19" s="2">
        <v>7</v>
      </c>
      <c r="D19" s="2">
        <v>6</v>
      </c>
      <c r="E19" s="2">
        <v>5</v>
      </c>
      <c r="F19" s="2">
        <v>4</v>
      </c>
      <c r="G19" s="2">
        <v>4</v>
      </c>
      <c r="H19" s="2">
        <f t="shared" si="13"/>
        <v>9876544</v>
      </c>
      <c r="I19" s="2">
        <f t="shared" si="1"/>
        <v>1</v>
      </c>
      <c r="J19" s="2">
        <f t="shared" si="14"/>
        <v>66.600000000000009</v>
      </c>
      <c r="K19" s="2">
        <f t="shared" si="15"/>
        <v>1</v>
      </c>
      <c r="L19" s="12">
        <f t="shared" si="16"/>
        <v>0</v>
      </c>
      <c r="AB19" s="2">
        <f t="shared" si="17"/>
        <v>6.6</v>
      </c>
      <c r="AC19" s="2">
        <f t="shared" si="18"/>
        <v>0.80000000000000049</v>
      </c>
      <c r="AD19" s="2">
        <f t="shared" si="19"/>
        <v>2.2000000000000002</v>
      </c>
      <c r="AE19" s="2">
        <f t="shared" si="20"/>
        <v>0.20000000000000018</v>
      </c>
      <c r="AF19" s="2">
        <f t="shared" si="21"/>
        <v>0.19999999999999996</v>
      </c>
      <c r="AG19" s="2">
        <f t="shared" si="22"/>
        <v>-2</v>
      </c>
      <c r="AH19" s="2">
        <f t="shared" si="23"/>
        <v>-2.2000000000000002</v>
      </c>
      <c r="AI19" s="2">
        <f t="shared" si="24"/>
        <v>0.8</v>
      </c>
    </row>
    <row r="20" spans="1:35" x14ac:dyDescent="0.25">
      <c r="A20" s="2">
        <v>2</v>
      </c>
      <c r="B20" s="2">
        <v>2</v>
      </c>
      <c r="C20" s="2">
        <v>2</v>
      </c>
      <c r="D20" s="2">
        <v>9</v>
      </c>
      <c r="E20" s="2">
        <v>8</v>
      </c>
      <c r="F20" s="2">
        <v>7</v>
      </c>
      <c r="G20" s="2">
        <v>6</v>
      </c>
      <c r="H20" s="2">
        <f t="shared" si="13"/>
        <v>2229876</v>
      </c>
      <c r="I20" s="2">
        <f t="shared" si="1"/>
        <v>-1</v>
      </c>
      <c r="J20" s="2">
        <f t="shared" si="14"/>
        <v>-4.5999999999999996</v>
      </c>
      <c r="K20" s="2">
        <f t="shared" si="15"/>
        <v>-1</v>
      </c>
      <c r="L20" s="12">
        <f t="shared" si="16"/>
        <v>0</v>
      </c>
      <c r="AB20" s="2">
        <f t="shared" si="17"/>
        <v>6.6</v>
      </c>
      <c r="AC20" s="2">
        <f t="shared" si="18"/>
        <v>0.80000000000000049</v>
      </c>
      <c r="AD20" s="2">
        <f t="shared" si="19"/>
        <v>2.2000000000000002</v>
      </c>
      <c r="AE20" s="2">
        <f t="shared" si="20"/>
        <v>0.20000000000000018</v>
      </c>
      <c r="AF20" s="2">
        <f t="shared" si="21"/>
        <v>0.19999999999999996</v>
      </c>
      <c r="AG20" s="2">
        <f t="shared" si="22"/>
        <v>-2</v>
      </c>
      <c r="AH20" s="2">
        <f t="shared" si="23"/>
        <v>-2.2000000000000002</v>
      </c>
      <c r="AI20" s="2">
        <f t="shared" si="24"/>
        <v>0.8</v>
      </c>
    </row>
    <row r="21" spans="1:35" x14ac:dyDescent="0.25">
      <c r="A21" s="2">
        <v>2</v>
      </c>
      <c r="B21" s="2">
        <v>2</v>
      </c>
      <c r="C21" s="2">
        <v>9</v>
      </c>
      <c r="D21" s="2">
        <v>9</v>
      </c>
      <c r="E21" s="2">
        <v>9</v>
      </c>
      <c r="F21" s="2">
        <v>8</v>
      </c>
      <c r="G21" s="2">
        <v>7</v>
      </c>
      <c r="H21" s="2">
        <f t="shared" si="13"/>
        <v>2299987</v>
      </c>
      <c r="I21" s="2">
        <f t="shared" si="1"/>
        <v>-1</v>
      </c>
      <c r="J21" s="2">
        <f t="shared" si="14"/>
        <v>6.8000000000000007</v>
      </c>
      <c r="K21" s="2">
        <f t="shared" si="15"/>
        <v>-1</v>
      </c>
      <c r="L21" s="12">
        <f t="shared" si="16"/>
        <v>0</v>
      </c>
      <c r="AB21" s="2">
        <f t="shared" si="17"/>
        <v>6.6</v>
      </c>
      <c r="AC21" s="2">
        <f t="shared" si="18"/>
        <v>0.80000000000000049</v>
      </c>
      <c r="AD21" s="2">
        <f t="shared" si="19"/>
        <v>2.2000000000000002</v>
      </c>
      <c r="AE21" s="2">
        <f t="shared" si="20"/>
        <v>0.20000000000000018</v>
      </c>
      <c r="AF21" s="2">
        <f t="shared" si="21"/>
        <v>0.19999999999999996</v>
      </c>
      <c r="AG21" s="2">
        <f t="shared" si="22"/>
        <v>-2</v>
      </c>
      <c r="AH21" s="2">
        <f t="shared" si="23"/>
        <v>-2.2000000000000002</v>
      </c>
      <c r="AI21" s="2">
        <f t="shared" si="24"/>
        <v>0.8</v>
      </c>
    </row>
    <row r="22" spans="1:35" x14ac:dyDescent="0.25">
      <c r="A22" s="2">
        <v>7</v>
      </c>
      <c r="B22" s="2">
        <v>7</v>
      </c>
      <c r="C22" s="2">
        <v>7</v>
      </c>
      <c r="D22" s="2">
        <v>8</v>
      </c>
      <c r="E22" s="2">
        <v>9</v>
      </c>
      <c r="F22" s="2">
        <v>9</v>
      </c>
      <c r="G22" s="2">
        <v>9</v>
      </c>
      <c r="H22" s="2">
        <f t="shared" si="13"/>
        <v>7778999</v>
      </c>
      <c r="I22" s="2">
        <f t="shared" si="1"/>
        <v>1</v>
      </c>
      <c r="J22" s="2">
        <f t="shared" si="14"/>
        <v>32.800000000000011</v>
      </c>
      <c r="K22" s="2">
        <f t="shared" si="15"/>
        <v>-1</v>
      </c>
      <c r="L22" s="12">
        <f t="shared" si="16"/>
        <v>2</v>
      </c>
      <c r="AB22" s="2">
        <f t="shared" si="17"/>
        <v>8</v>
      </c>
      <c r="AC22" s="2">
        <f t="shared" si="18"/>
        <v>2.2000000000000006</v>
      </c>
      <c r="AD22" s="2">
        <f t="shared" si="19"/>
        <v>3.6000000000000005</v>
      </c>
      <c r="AE22" s="2">
        <f t="shared" si="20"/>
        <v>1.8000000000000003</v>
      </c>
      <c r="AF22" s="2">
        <f t="shared" si="21"/>
        <v>2</v>
      </c>
      <c r="AG22" s="2">
        <f t="shared" si="22"/>
        <v>-0.19999999999999996</v>
      </c>
      <c r="AH22" s="2">
        <f t="shared" si="23"/>
        <v>-0.40000000000000013</v>
      </c>
      <c r="AI22" s="2">
        <f t="shared" si="24"/>
        <v>1</v>
      </c>
    </row>
    <row r="23" spans="1:35" x14ac:dyDescent="0.25">
      <c r="A23" s="2">
        <v>9</v>
      </c>
      <c r="B23" s="2">
        <v>0</v>
      </c>
      <c r="C23" s="2">
        <v>0</v>
      </c>
      <c r="D23" s="2">
        <v>0</v>
      </c>
      <c r="E23" s="2">
        <v>1</v>
      </c>
      <c r="F23" s="2">
        <v>2</v>
      </c>
      <c r="G23" s="2">
        <v>3</v>
      </c>
      <c r="H23" s="2">
        <f t="shared" si="13"/>
        <v>9000123</v>
      </c>
      <c r="I23" s="2">
        <f t="shared" si="1"/>
        <v>1</v>
      </c>
      <c r="J23" s="2">
        <f t="shared" si="14"/>
        <v>72.399999999999991</v>
      </c>
      <c r="K23" s="2">
        <f t="shared" si="15"/>
        <v>1</v>
      </c>
      <c r="L23" s="12">
        <f t="shared" si="16"/>
        <v>0</v>
      </c>
      <c r="AB23" s="2">
        <f t="shared" si="17"/>
        <v>8</v>
      </c>
      <c r="AC23" s="2">
        <f t="shared" si="18"/>
        <v>2.2000000000000006</v>
      </c>
      <c r="AD23" s="2">
        <f t="shared" si="19"/>
        <v>3.6000000000000005</v>
      </c>
      <c r="AE23" s="2">
        <f t="shared" si="20"/>
        <v>1.8000000000000003</v>
      </c>
      <c r="AF23" s="2">
        <f t="shared" si="21"/>
        <v>2</v>
      </c>
      <c r="AG23" s="2">
        <f t="shared" si="22"/>
        <v>-0.19999999999999996</v>
      </c>
      <c r="AH23" s="2">
        <f t="shared" si="23"/>
        <v>-0.40000000000000013</v>
      </c>
      <c r="AI23" s="2">
        <f t="shared" si="24"/>
        <v>1</v>
      </c>
    </row>
    <row r="24" spans="1:35" x14ac:dyDescent="0.25">
      <c r="A24" s="2">
        <v>8</v>
      </c>
      <c r="B24" s="2">
        <v>7</v>
      </c>
      <c r="C24" s="2">
        <v>6</v>
      </c>
      <c r="D24" s="2">
        <v>5</v>
      </c>
      <c r="E24" s="2">
        <v>4</v>
      </c>
      <c r="F24" s="2">
        <v>3</v>
      </c>
      <c r="G24" s="2">
        <v>2</v>
      </c>
      <c r="H24" s="2">
        <f t="shared" si="13"/>
        <v>8765432</v>
      </c>
      <c r="I24" s="2">
        <f t="shared" si="1"/>
        <v>1</v>
      </c>
      <c r="J24" s="2">
        <f t="shared" si="14"/>
        <v>116.60000000000001</v>
      </c>
      <c r="K24" s="2">
        <f t="shared" si="15"/>
        <v>1</v>
      </c>
      <c r="L24" s="12">
        <f t="shared" si="16"/>
        <v>0</v>
      </c>
      <c r="AB24" s="2">
        <f t="shared" si="17"/>
        <v>8</v>
      </c>
      <c r="AC24" s="2">
        <f t="shared" si="18"/>
        <v>2.2000000000000006</v>
      </c>
      <c r="AD24" s="2">
        <f t="shared" si="19"/>
        <v>3.6000000000000005</v>
      </c>
      <c r="AE24" s="2">
        <f t="shared" si="20"/>
        <v>1.8000000000000003</v>
      </c>
      <c r="AF24" s="2">
        <f t="shared" si="21"/>
        <v>2</v>
      </c>
      <c r="AG24" s="2">
        <f t="shared" si="22"/>
        <v>-0.19999999999999996</v>
      </c>
      <c r="AH24" s="2">
        <f t="shared" si="23"/>
        <v>-0.40000000000000013</v>
      </c>
      <c r="AI24" s="2">
        <f t="shared" si="24"/>
        <v>1</v>
      </c>
    </row>
    <row r="25" spans="1:35" x14ac:dyDescent="0.25">
      <c r="A25" s="2">
        <v>1</v>
      </c>
      <c r="B25" s="2">
        <v>1</v>
      </c>
      <c r="C25" s="2">
        <v>1</v>
      </c>
      <c r="D25" s="2">
        <v>2</v>
      </c>
      <c r="E25" s="2">
        <v>2</v>
      </c>
      <c r="F25" s="2">
        <v>3</v>
      </c>
      <c r="G25" s="2">
        <v>4</v>
      </c>
      <c r="H25" s="2">
        <f t="shared" si="13"/>
        <v>1112234</v>
      </c>
      <c r="I25" s="2">
        <f t="shared" si="1"/>
        <v>-1</v>
      </c>
      <c r="J25" s="2">
        <f t="shared" si="14"/>
        <v>19.2</v>
      </c>
      <c r="K25" s="2">
        <f t="shared" si="15"/>
        <v>-1</v>
      </c>
      <c r="L25" s="12">
        <f t="shared" si="16"/>
        <v>0</v>
      </c>
      <c r="AB25" s="2">
        <f t="shared" si="17"/>
        <v>8</v>
      </c>
      <c r="AC25" s="2">
        <f t="shared" si="18"/>
        <v>2.2000000000000006</v>
      </c>
      <c r="AD25" s="2">
        <f t="shared" si="19"/>
        <v>3.6000000000000005</v>
      </c>
      <c r="AE25" s="2">
        <f t="shared" si="20"/>
        <v>1.8000000000000003</v>
      </c>
      <c r="AF25" s="2">
        <f t="shared" si="21"/>
        <v>2</v>
      </c>
      <c r="AG25" s="2">
        <f t="shared" si="22"/>
        <v>-0.19999999999999996</v>
      </c>
      <c r="AH25" s="2">
        <f t="shared" si="23"/>
        <v>-0.40000000000000013</v>
      </c>
      <c r="AI25" s="2">
        <f t="shared" si="24"/>
        <v>1</v>
      </c>
    </row>
    <row r="26" spans="1:35" x14ac:dyDescent="0.25">
      <c r="A26" s="2">
        <v>6</v>
      </c>
      <c r="B26" s="2">
        <v>7</v>
      </c>
      <c r="C26" s="2">
        <v>8</v>
      </c>
      <c r="D26" s="2">
        <v>9</v>
      </c>
      <c r="E26" s="2">
        <v>9</v>
      </c>
      <c r="F26" s="2">
        <v>8</v>
      </c>
      <c r="G26" s="2">
        <v>7</v>
      </c>
      <c r="H26" s="2">
        <f t="shared" si="13"/>
        <v>6789987</v>
      </c>
      <c r="I26" s="2">
        <f t="shared" si="1"/>
        <v>1</v>
      </c>
      <c r="J26" s="2">
        <f t="shared" si="14"/>
        <v>122.00000000000003</v>
      </c>
      <c r="K26" s="2">
        <f t="shared" si="15"/>
        <v>1</v>
      </c>
      <c r="L26" s="12">
        <f t="shared" si="16"/>
        <v>0</v>
      </c>
      <c r="AB26" s="2">
        <f t="shared" si="17"/>
        <v>8</v>
      </c>
      <c r="AC26" s="2">
        <f t="shared" si="18"/>
        <v>2.2000000000000006</v>
      </c>
      <c r="AD26" s="2">
        <f t="shared" si="19"/>
        <v>3.6000000000000005</v>
      </c>
      <c r="AE26" s="2">
        <f t="shared" si="20"/>
        <v>1.8000000000000003</v>
      </c>
      <c r="AF26" s="2">
        <f t="shared" si="21"/>
        <v>2</v>
      </c>
      <c r="AG26" s="2">
        <f t="shared" si="22"/>
        <v>-0.19999999999999996</v>
      </c>
      <c r="AH26" s="2">
        <f t="shared" si="23"/>
        <v>-0.40000000000000013</v>
      </c>
      <c r="AI26" s="2">
        <f t="shared" si="24"/>
        <v>1</v>
      </c>
    </row>
    <row r="27" spans="1:35" x14ac:dyDescent="0.25">
      <c r="A27" s="2">
        <v>2</v>
      </c>
      <c r="B27" s="2">
        <v>9</v>
      </c>
      <c r="C27" s="2">
        <v>9</v>
      </c>
      <c r="D27" s="2">
        <v>9</v>
      </c>
      <c r="E27" s="2">
        <v>8</v>
      </c>
      <c r="F27" s="2">
        <v>7</v>
      </c>
      <c r="G27" s="2">
        <v>6</v>
      </c>
      <c r="H27" s="2">
        <f t="shared" si="13"/>
        <v>2999876</v>
      </c>
      <c r="I27" s="2">
        <f t="shared" si="1"/>
        <v>-1</v>
      </c>
      <c r="J27" s="2">
        <f t="shared" si="14"/>
        <v>96.600000000000009</v>
      </c>
      <c r="K27" s="2">
        <f t="shared" si="15"/>
        <v>1</v>
      </c>
      <c r="L27" s="12">
        <f t="shared" si="16"/>
        <v>-2</v>
      </c>
      <c r="AB27" s="2">
        <f t="shared" si="17"/>
        <v>7.6</v>
      </c>
      <c r="AC27" s="2">
        <f t="shared" si="18"/>
        <v>0.40000000000000058</v>
      </c>
      <c r="AD27" s="2">
        <f t="shared" si="19"/>
        <v>1.8000000000000005</v>
      </c>
      <c r="AE27" s="2">
        <f t="shared" si="20"/>
        <v>0</v>
      </c>
      <c r="AF27" s="2">
        <f t="shared" si="21"/>
        <v>0.39999999999999991</v>
      </c>
      <c r="AG27" s="2">
        <f t="shared" si="22"/>
        <v>-1.6</v>
      </c>
      <c r="AH27" s="2">
        <f t="shared" si="23"/>
        <v>-1.6000000000000003</v>
      </c>
      <c r="AI27" s="2">
        <f t="shared" si="24"/>
        <v>0.8</v>
      </c>
    </row>
    <row r="28" spans="1:35" x14ac:dyDescent="0.25">
      <c r="A28" s="2">
        <v>3</v>
      </c>
      <c r="B28" s="2">
        <v>9</v>
      </c>
      <c r="C28" s="2">
        <v>9</v>
      </c>
      <c r="D28" s="2">
        <v>8</v>
      </c>
      <c r="E28" s="2">
        <v>8</v>
      </c>
      <c r="F28" s="2">
        <v>7</v>
      </c>
      <c r="G28" s="2">
        <v>7</v>
      </c>
      <c r="H28" s="2">
        <f t="shared" si="13"/>
        <v>3998877</v>
      </c>
      <c r="I28" s="2">
        <f t="shared" si="1"/>
        <v>-1</v>
      </c>
      <c r="J28" s="2">
        <f t="shared" si="14"/>
        <v>23.400000000000006</v>
      </c>
      <c r="K28" s="2">
        <f t="shared" si="15"/>
        <v>-1</v>
      </c>
      <c r="L28" s="12">
        <f t="shared" si="16"/>
        <v>0</v>
      </c>
      <c r="AB28" s="2">
        <f t="shared" si="17"/>
        <v>7.6</v>
      </c>
      <c r="AC28" s="2">
        <f t="shared" si="18"/>
        <v>0.40000000000000058</v>
      </c>
      <c r="AD28" s="2">
        <f t="shared" si="19"/>
        <v>1.8000000000000005</v>
      </c>
      <c r="AE28" s="2">
        <f t="shared" si="20"/>
        <v>0</v>
      </c>
      <c r="AF28" s="2">
        <f t="shared" si="21"/>
        <v>0.39999999999999991</v>
      </c>
      <c r="AG28" s="2">
        <f t="shared" si="22"/>
        <v>-1.6</v>
      </c>
      <c r="AH28" s="2">
        <f t="shared" si="23"/>
        <v>-1.6000000000000003</v>
      </c>
      <c r="AI28" s="2">
        <f t="shared" si="24"/>
        <v>0.8</v>
      </c>
    </row>
    <row r="29" spans="1:35" x14ac:dyDescent="0.25">
      <c r="A29" s="2">
        <v>0</v>
      </c>
      <c r="B29" s="2">
        <v>9</v>
      </c>
      <c r="C29" s="2">
        <v>9</v>
      </c>
      <c r="D29" s="2">
        <v>8</v>
      </c>
      <c r="E29" s="2">
        <v>8</v>
      </c>
      <c r="F29" s="2">
        <v>7</v>
      </c>
      <c r="G29" s="2">
        <v>7</v>
      </c>
      <c r="H29" s="2">
        <f t="shared" si="13"/>
        <v>998877</v>
      </c>
      <c r="I29" s="2">
        <f t="shared" si="1"/>
        <v>-1</v>
      </c>
      <c r="J29" s="2">
        <f t="shared" si="14"/>
        <v>0.6000000000000032</v>
      </c>
      <c r="K29" s="2">
        <f t="shared" si="15"/>
        <v>-1</v>
      </c>
      <c r="L29" s="12">
        <f t="shared" si="16"/>
        <v>0</v>
      </c>
      <c r="AB29" s="2">
        <f t="shared" si="17"/>
        <v>7.6</v>
      </c>
      <c r="AC29" s="2">
        <f t="shared" si="18"/>
        <v>0.40000000000000058</v>
      </c>
      <c r="AD29" s="2">
        <f t="shared" si="19"/>
        <v>1.8000000000000005</v>
      </c>
      <c r="AE29" s="2">
        <f t="shared" si="20"/>
        <v>0</v>
      </c>
      <c r="AF29" s="2">
        <f t="shared" si="21"/>
        <v>0.39999999999999991</v>
      </c>
      <c r="AG29" s="2">
        <f t="shared" si="22"/>
        <v>-1.6</v>
      </c>
      <c r="AH29" s="2">
        <f t="shared" si="23"/>
        <v>-1.6000000000000003</v>
      </c>
      <c r="AI29" s="2">
        <f t="shared" si="24"/>
        <v>0.8</v>
      </c>
    </row>
    <row r="30" spans="1:35" x14ac:dyDescent="0.25">
      <c r="A30" s="2">
        <v>1</v>
      </c>
      <c r="B30" s="2">
        <v>2</v>
      </c>
      <c r="C30" s="2">
        <v>2</v>
      </c>
      <c r="D30" s="2">
        <v>3</v>
      </c>
      <c r="E30" s="2">
        <v>3</v>
      </c>
      <c r="F30" s="2">
        <v>4</v>
      </c>
      <c r="G30" s="2">
        <v>4</v>
      </c>
      <c r="H30" s="2">
        <f t="shared" si="13"/>
        <v>1223344</v>
      </c>
      <c r="I30" s="2">
        <f t="shared" si="1"/>
        <v>-1</v>
      </c>
      <c r="J30" s="2">
        <f t="shared" si="14"/>
        <v>0.39999999999999947</v>
      </c>
      <c r="K30" s="2">
        <f t="shared" si="15"/>
        <v>-1</v>
      </c>
      <c r="L30" s="12">
        <f t="shared" si="16"/>
        <v>0</v>
      </c>
      <c r="AB30" s="2">
        <f t="shared" si="17"/>
        <v>7.6</v>
      </c>
      <c r="AC30" s="2">
        <f t="shared" si="18"/>
        <v>0.40000000000000058</v>
      </c>
      <c r="AD30" s="2">
        <f t="shared" si="19"/>
        <v>1.8000000000000005</v>
      </c>
      <c r="AE30" s="2">
        <f t="shared" si="20"/>
        <v>0</v>
      </c>
      <c r="AF30" s="2">
        <f t="shared" si="21"/>
        <v>0.39999999999999991</v>
      </c>
      <c r="AG30" s="2">
        <f t="shared" si="22"/>
        <v>-1.6</v>
      </c>
      <c r="AH30" s="2">
        <f t="shared" si="23"/>
        <v>-1.6000000000000003</v>
      </c>
      <c r="AI30" s="2">
        <f t="shared" si="24"/>
        <v>0.8</v>
      </c>
    </row>
    <row r="31" spans="1:35" x14ac:dyDescent="0.25">
      <c r="A31" s="2">
        <v>5</v>
      </c>
      <c r="B31" s="2">
        <v>5</v>
      </c>
      <c r="C31" s="2">
        <v>2</v>
      </c>
      <c r="D31" s="2">
        <v>2</v>
      </c>
      <c r="E31" s="2">
        <v>3</v>
      </c>
      <c r="F31" s="2">
        <v>3</v>
      </c>
      <c r="G31" s="2">
        <v>3</v>
      </c>
      <c r="H31" s="2">
        <f t="shared" si="13"/>
        <v>5522333</v>
      </c>
      <c r="I31" s="2">
        <f t="shared" si="1"/>
        <v>1</v>
      </c>
      <c r="J31" s="2">
        <f t="shared" si="14"/>
        <v>35.200000000000003</v>
      </c>
      <c r="K31" s="2">
        <f t="shared" si="15"/>
        <v>1</v>
      </c>
      <c r="L31" s="12">
        <f t="shared" si="16"/>
        <v>0</v>
      </c>
      <c r="AB31" s="2">
        <f t="shared" si="17"/>
        <v>7.6</v>
      </c>
      <c r="AC31" s="2">
        <f t="shared" si="18"/>
        <v>0.40000000000000058</v>
      </c>
      <c r="AD31" s="2">
        <f t="shared" si="19"/>
        <v>1.8000000000000005</v>
      </c>
      <c r="AE31" s="2">
        <f t="shared" si="20"/>
        <v>0</v>
      </c>
      <c r="AF31" s="2">
        <f t="shared" si="21"/>
        <v>0.39999999999999991</v>
      </c>
      <c r="AG31" s="2">
        <f t="shared" si="22"/>
        <v>-1.6</v>
      </c>
      <c r="AH31" s="2">
        <f t="shared" si="23"/>
        <v>-1.6000000000000003</v>
      </c>
      <c r="AI31" s="2">
        <f t="shared" si="24"/>
        <v>0.8</v>
      </c>
    </row>
    <row r="32" spans="1:35" x14ac:dyDescent="0.25">
      <c r="A32" s="2">
        <v>5</v>
      </c>
      <c r="B32" s="2">
        <v>2</v>
      </c>
      <c r="C32" s="2">
        <v>8</v>
      </c>
      <c r="D32" s="2">
        <v>0</v>
      </c>
      <c r="E32" s="2">
        <v>4</v>
      </c>
      <c r="F32" s="2">
        <v>6</v>
      </c>
      <c r="G32" s="2">
        <v>7</v>
      </c>
      <c r="H32" s="2">
        <f t="shared" si="13"/>
        <v>5280467</v>
      </c>
      <c r="I32" s="2">
        <f t="shared" si="1"/>
        <v>-1</v>
      </c>
      <c r="J32" s="2">
        <f t="shared" si="14"/>
        <v>34.000000000000007</v>
      </c>
      <c r="K32" s="2">
        <f t="shared" si="15"/>
        <v>-1</v>
      </c>
      <c r="L32" s="12">
        <f t="shared" si="16"/>
        <v>0</v>
      </c>
      <c r="AB32" s="2">
        <f t="shared" si="17"/>
        <v>7.6</v>
      </c>
      <c r="AC32" s="2">
        <f t="shared" si="18"/>
        <v>0.40000000000000058</v>
      </c>
      <c r="AD32" s="2">
        <f t="shared" si="19"/>
        <v>1.8000000000000005</v>
      </c>
      <c r="AE32" s="2">
        <f t="shared" si="20"/>
        <v>0</v>
      </c>
      <c r="AF32" s="2">
        <f t="shared" si="21"/>
        <v>0.39999999999999991</v>
      </c>
      <c r="AG32" s="2">
        <f t="shared" si="22"/>
        <v>-1.6</v>
      </c>
      <c r="AH32" s="2">
        <f t="shared" si="23"/>
        <v>-1.6000000000000003</v>
      </c>
      <c r="AI32" s="2">
        <f t="shared" si="24"/>
        <v>0.8</v>
      </c>
    </row>
    <row r="33" spans="1:35" x14ac:dyDescent="0.25">
      <c r="A33" s="2">
        <v>5</v>
      </c>
      <c r="B33" s="2">
        <v>3</v>
      </c>
      <c r="C33" s="2">
        <v>8</v>
      </c>
      <c r="D33" s="2">
        <v>3</v>
      </c>
      <c r="E33" s="2">
        <v>4</v>
      </c>
      <c r="F33" s="2">
        <v>6</v>
      </c>
      <c r="G33" s="2">
        <v>7</v>
      </c>
      <c r="H33" s="2">
        <f t="shared" si="13"/>
        <v>5383467</v>
      </c>
      <c r="I33" s="2">
        <f t="shared" si="1"/>
        <v>1</v>
      </c>
      <c r="J33" s="2">
        <f t="shared" si="14"/>
        <v>34.400000000000006</v>
      </c>
      <c r="K33" s="2">
        <f t="shared" si="15"/>
        <v>1</v>
      </c>
      <c r="L33" s="12">
        <f t="shared" si="16"/>
        <v>0</v>
      </c>
      <c r="AB33" s="2">
        <f t="shared" si="17"/>
        <v>7.6</v>
      </c>
      <c r="AC33" s="2">
        <f t="shared" si="18"/>
        <v>0.40000000000000058</v>
      </c>
      <c r="AD33" s="2">
        <f t="shared" si="19"/>
        <v>1.8000000000000005</v>
      </c>
      <c r="AE33" s="2">
        <f t="shared" si="20"/>
        <v>0</v>
      </c>
      <c r="AF33" s="2">
        <f t="shared" si="21"/>
        <v>0.39999999999999991</v>
      </c>
      <c r="AG33" s="2">
        <f t="shared" si="22"/>
        <v>-1.6</v>
      </c>
      <c r="AH33" s="2">
        <f t="shared" si="23"/>
        <v>-1.6000000000000003</v>
      </c>
      <c r="AI33" s="2">
        <f t="shared" si="24"/>
        <v>0.8</v>
      </c>
    </row>
    <row r="34" spans="1:35" x14ac:dyDescent="0.25">
      <c r="A34" s="2">
        <v>2</v>
      </c>
      <c r="B34" s="2">
        <v>2</v>
      </c>
      <c r="C34" s="2">
        <v>2</v>
      </c>
      <c r="D34" s="2">
        <v>9</v>
      </c>
      <c r="E34" s="2">
        <v>9</v>
      </c>
      <c r="F34" s="2">
        <v>9</v>
      </c>
      <c r="G34" s="2">
        <v>9</v>
      </c>
      <c r="H34" s="2">
        <f t="shared" si="13"/>
        <v>2229999</v>
      </c>
      <c r="I34" s="2">
        <f t="shared" si="1"/>
        <v>-1</v>
      </c>
      <c r="J34" s="2">
        <f t="shared" si="14"/>
        <v>-5.6000000000000032</v>
      </c>
      <c r="K34" s="2">
        <f t="shared" si="15"/>
        <v>-1</v>
      </c>
      <c r="L34" s="12">
        <f t="shared" si="16"/>
        <v>0</v>
      </c>
      <c r="AB34" s="2">
        <f t="shared" si="17"/>
        <v>7.6</v>
      </c>
      <c r="AC34" s="2">
        <f t="shared" si="18"/>
        <v>0.40000000000000058</v>
      </c>
      <c r="AD34" s="2">
        <f t="shared" si="19"/>
        <v>1.8000000000000005</v>
      </c>
      <c r="AE34" s="2">
        <f t="shared" si="20"/>
        <v>0</v>
      </c>
      <c r="AF34" s="2">
        <f t="shared" si="21"/>
        <v>0.39999999999999991</v>
      </c>
      <c r="AG34" s="2">
        <f t="shared" si="22"/>
        <v>-1.6</v>
      </c>
      <c r="AH34" s="2">
        <f t="shared" si="23"/>
        <v>-1.6000000000000003</v>
      </c>
      <c r="AI34" s="2">
        <f t="shared" si="24"/>
        <v>0.8</v>
      </c>
    </row>
    <row r="35" spans="1:35" x14ac:dyDescent="0.25">
      <c r="A35" s="2">
        <v>3</v>
      </c>
      <c r="B35" s="2">
        <v>4</v>
      </c>
      <c r="C35" s="2">
        <v>5</v>
      </c>
      <c r="D35" s="2">
        <v>9</v>
      </c>
      <c r="E35" s="2">
        <v>9</v>
      </c>
      <c r="F35" s="2">
        <v>8</v>
      </c>
      <c r="G35" s="2">
        <v>7</v>
      </c>
      <c r="H35" s="2">
        <f t="shared" si="13"/>
        <v>3459987</v>
      </c>
      <c r="I35" s="2">
        <f t="shared" si="1"/>
        <v>-1</v>
      </c>
      <c r="J35" s="2">
        <f t="shared" si="14"/>
        <v>12.999999999999996</v>
      </c>
      <c r="K35" s="2">
        <f t="shared" si="15"/>
        <v>-1</v>
      </c>
      <c r="L35" s="12">
        <f t="shared" si="16"/>
        <v>0</v>
      </c>
      <c r="AB35" s="2">
        <f t="shared" si="17"/>
        <v>7.6</v>
      </c>
      <c r="AC35" s="2">
        <f t="shared" si="18"/>
        <v>0.40000000000000058</v>
      </c>
      <c r="AD35" s="2">
        <f t="shared" si="19"/>
        <v>1.8000000000000005</v>
      </c>
      <c r="AE35" s="2">
        <f t="shared" si="20"/>
        <v>0</v>
      </c>
      <c r="AF35" s="2">
        <f t="shared" si="21"/>
        <v>0.39999999999999991</v>
      </c>
      <c r="AG35" s="2">
        <f t="shared" si="22"/>
        <v>-1.6</v>
      </c>
      <c r="AH35" s="2">
        <f t="shared" si="23"/>
        <v>-1.6000000000000003</v>
      </c>
      <c r="AI35" s="2">
        <f t="shared" si="24"/>
        <v>0.8</v>
      </c>
    </row>
    <row r="36" spans="1:35" x14ac:dyDescent="0.25">
      <c r="A36" s="2">
        <v>4</v>
      </c>
      <c r="B36" s="2">
        <v>9</v>
      </c>
      <c r="C36" s="2">
        <v>9</v>
      </c>
      <c r="D36" s="2">
        <v>9</v>
      </c>
      <c r="E36" s="2">
        <v>8</v>
      </c>
      <c r="F36" s="2">
        <v>7</v>
      </c>
      <c r="G36" s="2">
        <v>6</v>
      </c>
      <c r="H36" s="2">
        <f t="shared" si="13"/>
        <v>4999876</v>
      </c>
      <c r="I36" s="2">
        <f t="shared" si="1"/>
        <v>-1</v>
      </c>
      <c r="J36" s="2">
        <f t="shared" si="14"/>
        <v>32.6</v>
      </c>
      <c r="K36" s="2">
        <f t="shared" si="15"/>
        <v>-1</v>
      </c>
      <c r="L36" s="12">
        <f t="shared" si="16"/>
        <v>0</v>
      </c>
      <c r="AB36" s="2">
        <f t="shared" si="17"/>
        <v>7.6</v>
      </c>
      <c r="AC36" s="2">
        <f t="shared" si="18"/>
        <v>0.40000000000000058</v>
      </c>
      <c r="AD36" s="2">
        <f t="shared" si="19"/>
        <v>1.8000000000000005</v>
      </c>
      <c r="AE36" s="2">
        <f t="shared" si="20"/>
        <v>0</v>
      </c>
      <c r="AF36" s="2">
        <f t="shared" si="21"/>
        <v>0.39999999999999991</v>
      </c>
      <c r="AG36" s="2">
        <f t="shared" si="22"/>
        <v>-1.6</v>
      </c>
      <c r="AH36" s="2">
        <f t="shared" si="23"/>
        <v>-1.6000000000000003</v>
      </c>
      <c r="AI36" s="2">
        <f t="shared" si="24"/>
        <v>0.8</v>
      </c>
    </row>
    <row r="37" spans="1:35" x14ac:dyDescent="0.25">
      <c r="A37" s="2">
        <v>5</v>
      </c>
      <c r="B37" s="2">
        <v>0</v>
      </c>
      <c r="C37" s="2">
        <v>0</v>
      </c>
      <c r="D37" s="2">
        <v>9</v>
      </c>
      <c r="E37" s="2">
        <v>9</v>
      </c>
      <c r="F37" s="2">
        <v>9</v>
      </c>
      <c r="G37" s="2">
        <v>9</v>
      </c>
      <c r="H37" s="2">
        <f t="shared" si="13"/>
        <v>5009999</v>
      </c>
      <c r="I37" s="2">
        <f t="shared" si="1"/>
        <v>-1</v>
      </c>
      <c r="J37" s="2">
        <f t="shared" si="14"/>
        <v>12.8</v>
      </c>
      <c r="K37" s="2">
        <f t="shared" si="15"/>
        <v>-1</v>
      </c>
      <c r="L37" s="12">
        <f t="shared" si="16"/>
        <v>0</v>
      </c>
      <c r="AB37" s="2">
        <f t="shared" si="17"/>
        <v>7.6</v>
      </c>
      <c r="AC37" s="2">
        <f t="shared" si="18"/>
        <v>0.40000000000000058</v>
      </c>
      <c r="AD37" s="2">
        <f t="shared" si="19"/>
        <v>1.8000000000000005</v>
      </c>
      <c r="AE37" s="2">
        <f t="shared" si="20"/>
        <v>0</v>
      </c>
      <c r="AF37" s="2">
        <f t="shared" si="21"/>
        <v>0.39999999999999991</v>
      </c>
      <c r="AG37" s="2">
        <f t="shared" si="22"/>
        <v>-1.6</v>
      </c>
      <c r="AH37" s="2">
        <f t="shared" si="23"/>
        <v>-1.6000000000000003</v>
      </c>
      <c r="AI37" s="2">
        <f t="shared" si="24"/>
        <v>0.8</v>
      </c>
    </row>
    <row r="38" spans="1:35" x14ac:dyDescent="0.25">
      <c r="A38" s="2">
        <v>5</v>
      </c>
      <c r="B38" s="2">
        <v>8</v>
      </c>
      <c r="C38" s="2">
        <v>0</v>
      </c>
      <c r="D38" s="2">
        <v>9</v>
      </c>
      <c r="E38" s="2">
        <v>9</v>
      </c>
      <c r="F38" s="2">
        <v>9</v>
      </c>
      <c r="G38" s="2">
        <v>9</v>
      </c>
      <c r="H38" s="2">
        <f t="shared" si="13"/>
        <v>5809999</v>
      </c>
      <c r="I38" s="2">
        <f t="shared" si="1"/>
        <v>1</v>
      </c>
      <c r="J38" s="2">
        <f t="shared" si="14"/>
        <v>16.000000000000004</v>
      </c>
      <c r="K38" s="2">
        <f t="shared" si="15"/>
        <v>-1</v>
      </c>
      <c r="L38" s="12">
        <f t="shared" si="16"/>
        <v>2</v>
      </c>
      <c r="AB38" s="2">
        <f t="shared" si="17"/>
        <v>8.6</v>
      </c>
      <c r="AC38" s="2">
        <f t="shared" si="18"/>
        <v>2.0000000000000009</v>
      </c>
      <c r="AD38" s="2">
        <f t="shared" si="19"/>
        <v>1.8000000000000005</v>
      </c>
      <c r="AE38" s="2">
        <f t="shared" si="20"/>
        <v>1.8</v>
      </c>
      <c r="AF38" s="2">
        <f t="shared" si="21"/>
        <v>2.2000000000000002</v>
      </c>
      <c r="AG38" s="2">
        <f t="shared" si="22"/>
        <v>0.19999999999999996</v>
      </c>
      <c r="AH38" s="2">
        <f t="shared" si="23"/>
        <v>0.19999999999999973</v>
      </c>
      <c r="AI38" s="2">
        <f t="shared" si="24"/>
        <v>1</v>
      </c>
    </row>
    <row r="39" spans="1:35" x14ac:dyDescent="0.25">
      <c r="A39" s="2">
        <v>5</v>
      </c>
      <c r="B39" s="2">
        <v>1</v>
      </c>
      <c r="C39" s="2">
        <v>1</v>
      </c>
      <c r="D39" s="2">
        <v>9</v>
      </c>
      <c r="E39" s="2">
        <v>9</v>
      </c>
      <c r="F39" s="2">
        <v>8</v>
      </c>
      <c r="G39" s="2">
        <v>7</v>
      </c>
      <c r="H39" s="2">
        <f t="shared" si="13"/>
        <v>5119987</v>
      </c>
      <c r="I39" s="2">
        <f t="shared" si="1"/>
        <v>-1</v>
      </c>
      <c r="J39" s="2">
        <f t="shared" si="14"/>
        <v>85.799999999999983</v>
      </c>
      <c r="K39" s="2">
        <f t="shared" si="15"/>
        <v>1</v>
      </c>
      <c r="L39" s="12">
        <f t="shared" si="16"/>
        <v>-2</v>
      </c>
      <c r="AB39" s="2">
        <f t="shared" si="17"/>
        <v>7.6</v>
      </c>
      <c r="AC39" s="2">
        <f t="shared" si="18"/>
        <v>1.8000000000000009</v>
      </c>
      <c r="AD39" s="2">
        <f t="shared" si="19"/>
        <v>1.6000000000000005</v>
      </c>
      <c r="AE39" s="2">
        <f t="shared" si="20"/>
        <v>0</v>
      </c>
      <c r="AF39" s="2">
        <f t="shared" si="21"/>
        <v>0.40000000000000013</v>
      </c>
      <c r="AG39" s="2">
        <f t="shared" si="22"/>
        <v>-1.4000000000000001</v>
      </c>
      <c r="AH39" s="2">
        <f t="shared" si="23"/>
        <v>-1.2000000000000004</v>
      </c>
      <c r="AI39" s="2">
        <f t="shared" si="24"/>
        <v>0.8</v>
      </c>
    </row>
    <row r="40" spans="1:35" x14ac:dyDescent="0.25">
      <c r="A40" s="2">
        <v>5</v>
      </c>
      <c r="B40" s="2">
        <v>4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2">
        <f t="shared" si="13"/>
        <v>5487654</v>
      </c>
      <c r="I40" s="2">
        <f t="shared" si="1"/>
        <v>1</v>
      </c>
      <c r="J40" s="2">
        <f t="shared" si="14"/>
        <v>48.6</v>
      </c>
      <c r="K40" s="2">
        <f t="shared" si="15"/>
        <v>1</v>
      </c>
      <c r="L40" s="12">
        <f t="shared" si="16"/>
        <v>0</v>
      </c>
      <c r="AB40" s="2">
        <f t="shared" si="17"/>
        <v>7.6</v>
      </c>
      <c r="AC40" s="2">
        <f t="shared" si="18"/>
        <v>1.8000000000000009</v>
      </c>
      <c r="AD40" s="2">
        <f t="shared" si="19"/>
        <v>1.6000000000000005</v>
      </c>
      <c r="AE40" s="2">
        <f t="shared" si="20"/>
        <v>0</v>
      </c>
      <c r="AF40" s="2">
        <f t="shared" si="21"/>
        <v>0.40000000000000013</v>
      </c>
      <c r="AG40" s="2">
        <f t="shared" si="22"/>
        <v>-1.4000000000000001</v>
      </c>
      <c r="AH40" s="2">
        <f t="shared" si="23"/>
        <v>-1.2000000000000004</v>
      </c>
      <c r="AI40" s="2">
        <f t="shared" si="24"/>
        <v>0.8</v>
      </c>
    </row>
    <row r="41" spans="1:35" x14ac:dyDescent="0.25">
      <c r="A41" s="2">
        <v>1</v>
      </c>
      <c r="B41" s="2">
        <v>2</v>
      </c>
      <c r="C41" s="2">
        <v>3</v>
      </c>
      <c r="D41" s="2">
        <v>9</v>
      </c>
      <c r="E41" s="2">
        <v>9</v>
      </c>
      <c r="F41" s="2">
        <v>8</v>
      </c>
      <c r="G41" s="2">
        <v>7</v>
      </c>
      <c r="H41" s="2">
        <f t="shared" si="13"/>
        <v>1239987</v>
      </c>
      <c r="I41" s="2">
        <f t="shared" si="1"/>
        <v>-1</v>
      </c>
      <c r="J41" s="2">
        <f t="shared" si="14"/>
        <v>0</v>
      </c>
      <c r="K41" s="2">
        <f t="shared" si="15"/>
        <v>-1</v>
      </c>
      <c r="L41" s="12">
        <f t="shared" si="16"/>
        <v>0</v>
      </c>
      <c r="AB41" s="2">
        <f t="shared" si="17"/>
        <v>7.6</v>
      </c>
      <c r="AC41" s="2">
        <f t="shared" si="18"/>
        <v>1.8000000000000009</v>
      </c>
      <c r="AD41" s="2">
        <f t="shared" si="19"/>
        <v>1.6000000000000005</v>
      </c>
      <c r="AE41" s="2">
        <f t="shared" si="20"/>
        <v>0</v>
      </c>
      <c r="AF41" s="2">
        <f t="shared" si="21"/>
        <v>0.40000000000000013</v>
      </c>
      <c r="AG41" s="2">
        <f t="shared" si="22"/>
        <v>-1.4000000000000001</v>
      </c>
      <c r="AH41" s="2">
        <f t="shared" si="23"/>
        <v>-1.2000000000000004</v>
      </c>
      <c r="AI41" s="2">
        <f t="shared" si="24"/>
        <v>0.8</v>
      </c>
    </row>
    <row r="42" spans="1:35" x14ac:dyDescent="0.25">
      <c r="A42" s="2">
        <v>9</v>
      </c>
      <c r="B42" s="2">
        <v>9</v>
      </c>
      <c r="C42" s="2">
        <v>0</v>
      </c>
      <c r="D42" s="2">
        <v>0</v>
      </c>
      <c r="E42" s="2">
        <v>1</v>
      </c>
      <c r="F42" s="2">
        <v>2</v>
      </c>
      <c r="G42" s="2">
        <v>3</v>
      </c>
      <c r="H42" s="2">
        <f t="shared" si="13"/>
        <v>9900123</v>
      </c>
      <c r="I42" s="2">
        <f t="shared" si="1"/>
        <v>1</v>
      </c>
      <c r="J42" s="2">
        <f t="shared" si="14"/>
        <v>78.599999999999994</v>
      </c>
      <c r="K42" s="2">
        <f t="shared" si="15"/>
        <v>1</v>
      </c>
      <c r="L42" s="12">
        <f t="shared" si="16"/>
        <v>0</v>
      </c>
      <c r="AB42" s="2">
        <f t="shared" si="17"/>
        <v>7.6</v>
      </c>
      <c r="AC42" s="2">
        <f t="shared" si="18"/>
        <v>1.8000000000000009</v>
      </c>
      <c r="AD42" s="2">
        <f t="shared" si="19"/>
        <v>1.6000000000000005</v>
      </c>
      <c r="AE42" s="2">
        <f t="shared" si="20"/>
        <v>0</v>
      </c>
      <c r="AF42" s="2">
        <f t="shared" si="21"/>
        <v>0.40000000000000013</v>
      </c>
      <c r="AG42" s="2">
        <f t="shared" si="22"/>
        <v>-1.4000000000000001</v>
      </c>
      <c r="AH42" s="2">
        <f t="shared" si="23"/>
        <v>-1.2000000000000004</v>
      </c>
      <c r="AI42" s="2">
        <f t="shared" si="24"/>
        <v>0.8</v>
      </c>
    </row>
    <row r="43" spans="1:35" x14ac:dyDescent="0.25">
      <c r="A43" s="2">
        <v>5</v>
      </c>
      <c r="B43" s="2">
        <v>5</v>
      </c>
      <c r="C43" s="2">
        <v>0</v>
      </c>
      <c r="D43" s="2">
        <v>0</v>
      </c>
      <c r="E43" s="2">
        <v>3</v>
      </c>
      <c r="F43" s="2">
        <v>2</v>
      </c>
      <c r="G43" s="2">
        <v>1</v>
      </c>
      <c r="H43" s="2">
        <f t="shared" si="13"/>
        <v>5500321</v>
      </c>
      <c r="I43" s="2">
        <f t="shared" si="1"/>
        <v>1</v>
      </c>
      <c r="J43" s="2">
        <f t="shared" si="14"/>
        <v>44.20000000000001</v>
      </c>
      <c r="K43" s="2">
        <f t="shared" si="15"/>
        <v>1</v>
      </c>
      <c r="L43" s="12">
        <f t="shared" si="16"/>
        <v>0</v>
      </c>
      <c r="AB43" s="2">
        <f t="shared" si="17"/>
        <v>7.6</v>
      </c>
      <c r="AC43" s="2">
        <f t="shared" si="18"/>
        <v>1.8000000000000009</v>
      </c>
      <c r="AD43" s="2">
        <f t="shared" si="19"/>
        <v>1.6000000000000005</v>
      </c>
      <c r="AE43" s="2">
        <f t="shared" si="20"/>
        <v>0</v>
      </c>
      <c r="AF43" s="2">
        <f t="shared" si="21"/>
        <v>0.40000000000000013</v>
      </c>
      <c r="AG43" s="2">
        <f t="shared" si="22"/>
        <v>-1.4000000000000001</v>
      </c>
      <c r="AH43" s="2">
        <f t="shared" si="23"/>
        <v>-1.2000000000000004</v>
      </c>
      <c r="AI43" s="2">
        <f t="shared" si="24"/>
        <v>0.8</v>
      </c>
    </row>
    <row r="44" spans="1:35" x14ac:dyDescent="0.25">
      <c r="A44" s="2">
        <v>5</v>
      </c>
      <c r="B44" s="2">
        <v>2</v>
      </c>
      <c r="C44" s="2">
        <v>7</v>
      </c>
      <c r="D44" s="2">
        <v>2</v>
      </c>
      <c r="E44" s="2">
        <v>4</v>
      </c>
      <c r="F44" s="2">
        <v>6</v>
      </c>
      <c r="G44" s="2">
        <v>7</v>
      </c>
      <c r="H44" s="2">
        <f t="shared" si="13"/>
        <v>5272467</v>
      </c>
      <c r="I44" s="2">
        <f t="shared" si="1"/>
        <v>-1</v>
      </c>
      <c r="J44" s="2">
        <f t="shared" si="14"/>
        <v>37.600000000000009</v>
      </c>
      <c r="K44" s="2">
        <f t="shared" si="15"/>
        <v>1</v>
      </c>
      <c r="L44" s="12">
        <f t="shared" si="16"/>
        <v>-2</v>
      </c>
      <c r="AB44" s="2">
        <f t="shared" si="17"/>
        <v>6.6</v>
      </c>
      <c r="AC44" s="2">
        <f t="shared" si="18"/>
        <v>1.4000000000000008</v>
      </c>
      <c r="AD44" s="2">
        <f t="shared" si="19"/>
        <v>0.2000000000000004</v>
      </c>
      <c r="AE44" s="2">
        <f t="shared" si="20"/>
        <v>-0.4</v>
      </c>
      <c r="AF44" s="2">
        <f t="shared" si="21"/>
        <v>-0.39999999999999991</v>
      </c>
      <c r="AG44" s="2">
        <f t="shared" si="22"/>
        <v>-2.6000000000000005</v>
      </c>
      <c r="AH44" s="2">
        <f t="shared" si="23"/>
        <v>-2.6000000000000005</v>
      </c>
      <c r="AI44" s="2">
        <f t="shared" si="24"/>
        <v>0.60000000000000009</v>
      </c>
    </row>
    <row r="45" spans="1:35" x14ac:dyDescent="0.25">
      <c r="A45" s="2">
        <v>5</v>
      </c>
      <c r="B45" s="2">
        <v>3</v>
      </c>
      <c r="C45" s="2">
        <v>8</v>
      </c>
      <c r="D45" s="2">
        <v>2</v>
      </c>
      <c r="E45" s="2">
        <v>4</v>
      </c>
      <c r="F45" s="2">
        <v>6</v>
      </c>
      <c r="G45" s="2">
        <v>7</v>
      </c>
      <c r="H45" s="2">
        <f t="shared" si="13"/>
        <v>5382467</v>
      </c>
      <c r="I45" s="2">
        <f t="shared" si="1"/>
        <v>1</v>
      </c>
      <c r="J45" s="2">
        <f t="shared" si="14"/>
        <v>2.6000000000000014</v>
      </c>
      <c r="K45" s="2">
        <f t="shared" si="15"/>
        <v>-1</v>
      </c>
      <c r="L45" s="12">
        <f t="shared" si="16"/>
        <v>2</v>
      </c>
      <c r="AB45" s="2">
        <f t="shared" si="17"/>
        <v>7.6</v>
      </c>
      <c r="AC45" s="2">
        <f t="shared" si="18"/>
        <v>2.0000000000000009</v>
      </c>
      <c r="AD45" s="2">
        <f t="shared" si="19"/>
        <v>1.8000000000000005</v>
      </c>
      <c r="AE45" s="2">
        <f t="shared" si="20"/>
        <v>0</v>
      </c>
      <c r="AF45" s="2">
        <f t="shared" si="21"/>
        <v>0.40000000000000013</v>
      </c>
      <c r="AG45" s="2">
        <f t="shared" si="22"/>
        <v>-1.4000000000000004</v>
      </c>
      <c r="AH45" s="2">
        <f t="shared" si="23"/>
        <v>-1.2000000000000004</v>
      </c>
      <c r="AI45" s="2">
        <f t="shared" si="24"/>
        <v>0.8</v>
      </c>
    </row>
    <row r="46" spans="1:35" x14ac:dyDescent="0.25">
      <c r="A46" s="2">
        <v>6</v>
      </c>
      <c r="B46" s="2">
        <v>7</v>
      </c>
      <c r="C46" s="2">
        <v>8</v>
      </c>
      <c r="D46" s="2">
        <v>1</v>
      </c>
      <c r="E46" s="2">
        <v>2</v>
      </c>
      <c r="F46" s="2">
        <v>3</v>
      </c>
      <c r="G46" s="2">
        <v>4</v>
      </c>
      <c r="H46" s="2">
        <f t="shared" si="13"/>
        <v>6781234</v>
      </c>
      <c r="I46" s="2">
        <f t="shared" si="1"/>
        <v>1</v>
      </c>
      <c r="J46" s="2">
        <f t="shared" si="14"/>
        <v>65.8</v>
      </c>
      <c r="K46" s="2">
        <f t="shared" si="15"/>
        <v>1</v>
      </c>
      <c r="L46" s="12">
        <f t="shared" si="16"/>
        <v>0</v>
      </c>
      <c r="AB46" s="2">
        <f t="shared" si="17"/>
        <v>7.6</v>
      </c>
      <c r="AC46" s="2">
        <f t="shared" si="18"/>
        <v>2.0000000000000009</v>
      </c>
      <c r="AD46" s="2">
        <f t="shared" si="19"/>
        <v>1.8000000000000005</v>
      </c>
      <c r="AE46" s="2">
        <f t="shared" si="20"/>
        <v>0</v>
      </c>
      <c r="AF46" s="2">
        <f t="shared" si="21"/>
        <v>0.40000000000000013</v>
      </c>
      <c r="AG46" s="2">
        <f t="shared" si="22"/>
        <v>-1.4000000000000004</v>
      </c>
      <c r="AH46" s="2">
        <f t="shared" si="23"/>
        <v>-1.2000000000000004</v>
      </c>
      <c r="AI46" s="2">
        <f t="shared" si="24"/>
        <v>0.8</v>
      </c>
    </row>
    <row r="47" spans="1:35" x14ac:dyDescent="0.25">
      <c r="A47" s="2">
        <v>2</v>
      </c>
      <c r="B47" s="2">
        <v>2</v>
      </c>
      <c r="C47" s="2">
        <v>2</v>
      </c>
      <c r="D47" s="2">
        <v>1</v>
      </c>
      <c r="E47" s="2">
        <v>2</v>
      </c>
      <c r="F47" s="2">
        <v>1</v>
      </c>
      <c r="G47" s="2">
        <v>2</v>
      </c>
      <c r="H47" s="2">
        <f t="shared" si="13"/>
        <v>2221212</v>
      </c>
      <c r="I47" s="2">
        <f t="shared" si="1"/>
        <v>-1</v>
      </c>
      <c r="J47" s="2">
        <f t="shared" si="14"/>
        <v>19.8</v>
      </c>
      <c r="K47" s="2">
        <f t="shared" si="15"/>
        <v>-1</v>
      </c>
      <c r="L47" s="12">
        <f t="shared" si="16"/>
        <v>0</v>
      </c>
      <c r="AB47" s="2">
        <f t="shared" si="17"/>
        <v>7.6</v>
      </c>
      <c r="AC47" s="2">
        <f t="shared" si="18"/>
        <v>2.0000000000000009</v>
      </c>
      <c r="AD47" s="2">
        <f t="shared" si="19"/>
        <v>1.8000000000000005</v>
      </c>
      <c r="AE47" s="2">
        <f t="shared" si="20"/>
        <v>0</v>
      </c>
      <c r="AF47" s="2">
        <f t="shared" si="21"/>
        <v>0.40000000000000013</v>
      </c>
      <c r="AG47" s="2">
        <f t="shared" si="22"/>
        <v>-1.4000000000000004</v>
      </c>
      <c r="AH47" s="2">
        <f t="shared" si="23"/>
        <v>-1.2000000000000004</v>
      </c>
      <c r="AI47" s="2">
        <f t="shared" si="24"/>
        <v>0.8</v>
      </c>
    </row>
    <row r="48" spans="1:35" x14ac:dyDescent="0.25">
      <c r="A48" s="2">
        <v>4</v>
      </c>
      <c r="B48" s="2">
        <v>5</v>
      </c>
      <c r="C48" s="2">
        <v>5</v>
      </c>
      <c r="D48" s="2">
        <v>4</v>
      </c>
      <c r="E48" s="2">
        <v>3</v>
      </c>
      <c r="F48" s="2">
        <v>2</v>
      </c>
      <c r="G48" s="2">
        <v>1</v>
      </c>
      <c r="H48" s="2">
        <f t="shared" si="13"/>
        <v>4554321</v>
      </c>
      <c r="I48" s="2">
        <f t="shared" si="1"/>
        <v>-1</v>
      </c>
      <c r="J48" s="2">
        <f t="shared" si="14"/>
        <v>46.600000000000009</v>
      </c>
      <c r="K48" s="2">
        <f t="shared" si="15"/>
        <v>1</v>
      </c>
      <c r="L48" s="12">
        <f t="shared" si="16"/>
        <v>-2</v>
      </c>
      <c r="AB48" s="2">
        <f t="shared" si="17"/>
        <v>6.8</v>
      </c>
      <c r="AC48" s="2">
        <f t="shared" si="18"/>
        <v>1.0000000000000009</v>
      </c>
      <c r="AD48" s="2">
        <f t="shared" si="19"/>
        <v>0.80000000000000049</v>
      </c>
      <c r="AE48" s="2">
        <f t="shared" si="20"/>
        <v>-0.8</v>
      </c>
      <c r="AF48" s="2">
        <f t="shared" si="21"/>
        <v>-0.19999999999999996</v>
      </c>
      <c r="AG48" s="2">
        <f t="shared" si="22"/>
        <v>-1.8000000000000003</v>
      </c>
      <c r="AH48" s="2">
        <f t="shared" si="23"/>
        <v>-1.4000000000000004</v>
      </c>
      <c r="AI48" s="2">
        <f t="shared" si="24"/>
        <v>0.60000000000000009</v>
      </c>
    </row>
    <row r="49" spans="1:35" x14ac:dyDescent="0.25">
      <c r="A49" s="2">
        <v>5</v>
      </c>
      <c r="B49" s="2">
        <v>1</v>
      </c>
      <c r="C49" s="2">
        <v>9</v>
      </c>
      <c r="D49" s="2">
        <v>9</v>
      </c>
      <c r="E49" s="2">
        <v>8</v>
      </c>
      <c r="F49" s="2">
        <v>7</v>
      </c>
      <c r="G49" s="2">
        <v>6</v>
      </c>
      <c r="H49" s="2">
        <f t="shared" si="13"/>
        <v>5199876</v>
      </c>
      <c r="I49" s="2">
        <f t="shared" si="1"/>
        <v>-1</v>
      </c>
      <c r="J49" s="2">
        <f t="shared" si="14"/>
        <v>12.399999999999995</v>
      </c>
      <c r="K49" s="2">
        <f t="shared" si="15"/>
        <v>-1</v>
      </c>
      <c r="L49" s="12">
        <f t="shared" si="16"/>
        <v>0</v>
      </c>
      <c r="AB49" s="2">
        <f t="shared" si="17"/>
        <v>6.8</v>
      </c>
      <c r="AC49" s="2">
        <f t="shared" si="18"/>
        <v>1.0000000000000009</v>
      </c>
      <c r="AD49" s="2">
        <f t="shared" si="19"/>
        <v>0.80000000000000049</v>
      </c>
      <c r="AE49" s="2">
        <f t="shared" si="20"/>
        <v>-0.8</v>
      </c>
      <c r="AF49" s="2">
        <f t="shared" si="21"/>
        <v>-0.19999999999999996</v>
      </c>
      <c r="AG49" s="2">
        <f t="shared" si="22"/>
        <v>-1.8000000000000003</v>
      </c>
      <c r="AH49" s="2">
        <f t="shared" si="23"/>
        <v>-1.4000000000000004</v>
      </c>
      <c r="AI49" s="2">
        <f t="shared" si="24"/>
        <v>0.60000000000000009</v>
      </c>
    </row>
    <row r="50" spans="1:35" x14ac:dyDescent="0.25">
      <c r="A50" s="2">
        <v>5</v>
      </c>
      <c r="B50" s="2">
        <v>0</v>
      </c>
      <c r="C50" s="2">
        <v>9</v>
      </c>
      <c r="D50" s="2">
        <v>9</v>
      </c>
      <c r="E50" s="2">
        <v>8</v>
      </c>
      <c r="F50" s="2">
        <v>7</v>
      </c>
      <c r="G50" s="2">
        <v>6</v>
      </c>
      <c r="H50" s="2">
        <f t="shared" si="13"/>
        <v>5099876</v>
      </c>
      <c r="I50" s="2">
        <f t="shared" si="1"/>
        <v>-1</v>
      </c>
      <c r="J50" s="2">
        <f t="shared" si="14"/>
        <v>11.399999999999995</v>
      </c>
      <c r="K50" s="2">
        <f t="shared" si="15"/>
        <v>-1</v>
      </c>
      <c r="L50" s="12">
        <f t="shared" si="16"/>
        <v>0</v>
      </c>
      <c r="AB50" s="2">
        <f t="shared" si="17"/>
        <v>6.8</v>
      </c>
      <c r="AC50" s="2">
        <f t="shared" si="18"/>
        <v>1.0000000000000009</v>
      </c>
      <c r="AD50" s="2">
        <f t="shared" si="19"/>
        <v>0.80000000000000049</v>
      </c>
      <c r="AE50" s="2">
        <f t="shared" si="20"/>
        <v>-0.8</v>
      </c>
      <c r="AF50" s="2">
        <f t="shared" si="21"/>
        <v>-0.19999999999999996</v>
      </c>
      <c r="AG50" s="2">
        <f t="shared" si="22"/>
        <v>-1.8000000000000003</v>
      </c>
      <c r="AH50" s="2">
        <f t="shared" si="23"/>
        <v>-1.4000000000000004</v>
      </c>
      <c r="AI50" s="2">
        <f t="shared" si="24"/>
        <v>0.60000000000000009</v>
      </c>
    </row>
    <row r="51" spans="1:35" x14ac:dyDescent="0.25">
      <c r="A51" s="2">
        <v>3</v>
      </c>
      <c r="B51" s="2">
        <v>3</v>
      </c>
      <c r="C51" s="2">
        <v>3</v>
      </c>
      <c r="D51" s="2">
        <v>9</v>
      </c>
      <c r="E51" s="2">
        <v>9</v>
      </c>
      <c r="F51" s="2">
        <v>9</v>
      </c>
      <c r="G51" s="2">
        <v>9</v>
      </c>
      <c r="H51" s="2">
        <f t="shared" si="13"/>
        <v>3339999</v>
      </c>
      <c r="I51" s="2">
        <f t="shared" si="1"/>
        <v>-1</v>
      </c>
      <c r="J51" s="2">
        <f t="shared" si="14"/>
        <v>-12.000000000000002</v>
      </c>
      <c r="K51" s="2">
        <f t="shared" si="15"/>
        <v>-1</v>
      </c>
      <c r="L51" s="12">
        <f t="shared" si="16"/>
        <v>0</v>
      </c>
      <c r="AB51" s="2">
        <f t="shared" si="17"/>
        <v>6.8</v>
      </c>
      <c r="AC51" s="2">
        <f t="shared" si="18"/>
        <v>1.0000000000000009</v>
      </c>
      <c r="AD51" s="2">
        <f t="shared" si="19"/>
        <v>0.80000000000000049</v>
      </c>
      <c r="AE51" s="2">
        <f t="shared" si="20"/>
        <v>-0.8</v>
      </c>
      <c r="AF51" s="2">
        <f t="shared" si="21"/>
        <v>-0.19999999999999996</v>
      </c>
      <c r="AG51" s="2">
        <f t="shared" si="22"/>
        <v>-1.8000000000000003</v>
      </c>
      <c r="AH51" s="2">
        <f t="shared" si="23"/>
        <v>-1.4000000000000004</v>
      </c>
      <c r="AI51" s="2">
        <f t="shared" si="24"/>
        <v>0.60000000000000009</v>
      </c>
    </row>
    <row r="52" spans="1:35" x14ac:dyDescent="0.25">
      <c r="A52" s="2">
        <v>5</v>
      </c>
      <c r="B52" s="2">
        <v>2</v>
      </c>
      <c r="C52" s="2">
        <v>8</v>
      </c>
      <c r="D52" s="2">
        <v>2</v>
      </c>
      <c r="E52" s="2">
        <v>4</v>
      </c>
      <c r="F52" s="2">
        <v>6</v>
      </c>
      <c r="G52" s="2">
        <v>7</v>
      </c>
      <c r="H52" s="2">
        <f t="shared" ref="H52:H55" si="25">VALUE(A52&amp;B52&amp;C52&amp;D52&amp;E52&amp;F52&amp;G52)</f>
        <v>5282467</v>
      </c>
      <c r="I52" s="2">
        <f t="shared" si="1"/>
        <v>1</v>
      </c>
      <c r="J52" s="2">
        <f t="shared" ref="J52:J55" si="26">A52*AB51+B52*AC51+C52*AD51+D52*AE51+E52*AF51+F52*AG51+G52*AH51</f>
        <v>19.400000000000006</v>
      </c>
      <c r="K52" s="2">
        <f t="shared" ref="K52:K55" si="27">IF(J52 +AI51 &gt;= 35, 1, -1)</f>
        <v>-1</v>
      </c>
      <c r="L52" s="12">
        <f t="shared" ref="L52:L55" si="28">I52 - K52</f>
        <v>2</v>
      </c>
      <c r="AB52" s="2">
        <f t="shared" ref="AB52:AB55" si="29">AB51+0.1*L52*A52</f>
        <v>7.8</v>
      </c>
      <c r="AC52" s="2">
        <f t="shared" ref="AC52:AC55" si="30">AC51 + 0.1 * L52 * B52</f>
        <v>1.4000000000000008</v>
      </c>
      <c r="AD52" s="2">
        <f t="shared" ref="AD52:AD55" si="31">AD51 + 0.1 * L52 * C52</f>
        <v>2.4000000000000004</v>
      </c>
      <c r="AE52" s="2">
        <f t="shared" ref="AE52:AE55" si="32">AE51 + 0.1 * L52 * D52</f>
        <v>-0.4</v>
      </c>
      <c r="AF52" s="2">
        <f t="shared" ref="AF52:AF55" si="33">AF51 + 0.1 * L52 * E52</f>
        <v>0.60000000000000009</v>
      </c>
      <c r="AG52" s="2">
        <f t="shared" ref="AG52:AG55" si="34">AG51 + 0.1 * L52 * F52</f>
        <v>-0.60000000000000009</v>
      </c>
      <c r="AH52" s="2">
        <f t="shared" ref="AH52:AH55" si="35">AH51 + 0.1 * L52 * G52</f>
        <v>0</v>
      </c>
      <c r="AI52" s="2">
        <f t="shared" ref="AI52:AI55" si="36">AI51 + 0.1 * L52</f>
        <v>0.8</v>
      </c>
    </row>
    <row r="53" spans="1:35" x14ac:dyDescent="0.25">
      <c r="A53" s="2">
        <v>5</v>
      </c>
      <c r="B53" s="2">
        <v>1</v>
      </c>
      <c r="C53" s="2">
        <v>8</v>
      </c>
      <c r="D53" s="2">
        <v>0</v>
      </c>
      <c r="E53" s="2">
        <v>9</v>
      </c>
      <c r="F53" s="2">
        <v>9</v>
      </c>
      <c r="G53" s="2">
        <v>9</v>
      </c>
      <c r="H53" s="2">
        <f t="shared" si="25"/>
        <v>5180999</v>
      </c>
      <c r="I53" s="2">
        <f t="shared" si="1"/>
        <v>-1</v>
      </c>
      <c r="J53" s="2">
        <f t="shared" si="26"/>
        <v>59.6</v>
      </c>
      <c r="K53" s="2">
        <f t="shared" si="27"/>
        <v>1</v>
      </c>
      <c r="L53" s="12">
        <f t="shared" si="28"/>
        <v>-2</v>
      </c>
      <c r="AB53" s="2">
        <f t="shared" si="29"/>
        <v>6.8</v>
      </c>
      <c r="AC53" s="2">
        <f t="shared" si="30"/>
        <v>1.2000000000000008</v>
      </c>
      <c r="AD53" s="2">
        <f t="shared" si="31"/>
        <v>0.80000000000000027</v>
      </c>
      <c r="AE53" s="2">
        <f t="shared" si="32"/>
        <v>-0.4</v>
      </c>
      <c r="AF53" s="2">
        <f t="shared" si="33"/>
        <v>-1.2</v>
      </c>
      <c r="AG53" s="2">
        <f t="shared" si="34"/>
        <v>-2.4000000000000004</v>
      </c>
      <c r="AH53" s="2">
        <f t="shared" si="35"/>
        <v>-1.8</v>
      </c>
      <c r="AI53" s="2">
        <f t="shared" si="36"/>
        <v>0.60000000000000009</v>
      </c>
    </row>
    <row r="54" spans="1:35" x14ac:dyDescent="0.25">
      <c r="A54" s="2">
        <v>5</v>
      </c>
      <c r="B54" s="2">
        <v>2</v>
      </c>
      <c r="C54" s="2">
        <v>8</v>
      </c>
      <c r="D54" s="2">
        <v>2</v>
      </c>
      <c r="E54" s="2">
        <v>4</v>
      </c>
      <c r="F54" s="2">
        <v>6</v>
      </c>
      <c r="G54" s="2">
        <v>7</v>
      </c>
      <c r="H54" s="2">
        <f t="shared" si="25"/>
        <v>5282467</v>
      </c>
      <c r="I54" s="2">
        <f t="shared" si="1"/>
        <v>1</v>
      </c>
      <c r="J54" s="2">
        <f t="shared" si="26"/>
        <v>10.200000000000001</v>
      </c>
      <c r="K54" s="2">
        <f t="shared" si="27"/>
        <v>-1</v>
      </c>
      <c r="L54" s="12">
        <f t="shared" si="28"/>
        <v>2</v>
      </c>
      <c r="AB54" s="2">
        <f t="shared" si="29"/>
        <v>7.8</v>
      </c>
      <c r="AC54" s="2">
        <f t="shared" si="30"/>
        <v>1.600000000000001</v>
      </c>
      <c r="AD54" s="2">
        <f t="shared" si="31"/>
        <v>2.4000000000000004</v>
      </c>
      <c r="AE54" s="2">
        <f t="shared" si="32"/>
        <v>0</v>
      </c>
      <c r="AF54" s="2">
        <f t="shared" si="33"/>
        <v>-0.39999999999999991</v>
      </c>
      <c r="AG54" s="2">
        <f t="shared" si="34"/>
        <v>-1.2000000000000002</v>
      </c>
      <c r="AH54" s="2">
        <f t="shared" si="35"/>
        <v>-0.39999999999999991</v>
      </c>
      <c r="AI54" s="2">
        <f t="shared" si="36"/>
        <v>0.8</v>
      </c>
    </row>
    <row r="55" spans="1:35" x14ac:dyDescent="0.25">
      <c r="A55" s="2">
        <v>5</v>
      </c>
      <c r="B55" s="2">
        <v>2</v>
      </c>
      <c r="C55" s="2">
        <v>8</v>
      </c>
      <c r="D55" s="2">
        <v>2</v>
      </c>
      <c r="E55" s="2">
        <v>4</v>
      </c>
      <c r="F55" s="2">
        <v>6</v>
      </c>
      <c r="G55" s="2">
        <v>7</v>
      </c>
      <c r="H55" s="2">
        <f t="shared" si="25"/>
        <v>5282467</v>
      </c>
      <c r="I55" s="2">
        <f t="shared" si="1"/>
        <v>1</v>
      </c>
      <c r="J55" s="2">
        <f t="shared" si="26"/>
        <v>49.800000000000004</v>
      </c>
      <c r="K55" s="2">
        <f t="shared" si="27"/>
        <v>1</v>
      </c>
      <c r="L55" s="12">
        <f t="shared" si="28"/>
        <v>0</v>
      </c>
      <c r="AB55" s="2">
        <f t="shared" si="29"/>
        <v>7.8</v>
      </c>
      <c r="AC55" s="2">
        <f t="shared" si="30"/>
        <v>1.600000000000001</v>
      </c>
      <c r="AD55" s="2">
        <f t="shared" si="31"/>
        <v>2.4000000000000004</v>
      </c>
      <c r="AE55" s="2">
        <f t="shared" si="32"/>
        <v>0</v>
      </c>
      <c r="AF55" s="2">
        <f t="shared" si="33"/>
        <v>-0.39999999999999991</v>
      </c>
      <c r="AG55" s="2">
        <f t="shared" si="34"/>
        <v>-1.2000000000000002</v>
      </c>
      <c r="AH55" s="2">
        <f t="shared" si="35"/>
        <v>-0.39999999999999991</v>
      </c>
      <c r="AI55" s="2">
        <f t="shared" si="36"/>
        <v>0.8</v>
      </c>
    </row>
    <row r="56" spans="1:35" x14ac:dyDescent="0.25">
      <c r="A56" s="2">
        <v>2</v>
      </c>
      <c r="B56" s="2">
        <v>3</v>
      </c>
      <c r="C56" s="2">
        <v>3</v>
      </c>
      <c r="D56" s="2">
        <v>9</v>
      </c>
      <c r="E56" s="2">
        <v>9</v>
      </c>
      <c r="F56" s="2">
        <v>9</v>
      </c>
      <c r="G56" s="2">
        <v>8</v>
      </c>
      <c r="H56" s="2">
        <f t="shared" ref="H56:H60" si="37">VALUE(A56&amp;B56&amp;C56&amp;D56&amp;E56&amp;F56&amp;G56)</f>
        <v>2339998</v>
      </c>
      <c r="I56" s="2">
        <f t="shared" si="1"/>
        <v>-1</v>
      </c>
      <c r="J56" s="2">
        <f t="shared" ref="J56:J60" si="38">A56*AB55+B56*AC55+C56*AD55+D56*AE55+E56*AF55+F56*AG55+G56*AH55</f>
        <v>10.000000000000004</v>
      </c>
      <c r="K56" s="2">
        <f t="shared" ref="K56:K60" si="39">IF(J56 +AI55 &gt;= 35, 1, -1)</f>
        <v>-1</v>
      </c>
      <c r="L56" s="12">
        <f t="shared" ref="L56:L60" si="40">I56 - K56</f>
        <v>0</v>
      </c>
      <c r="AB56" s="2">
        <f t="shared" ref="AB56:AB60" si="41">AB55+0.1*L56*A56</f>
        <v>7.8</v>
      </c>
      <c r="AC56" s="2">
        <f t="shared" ref="AC56:AC60" si="42">AC55 + 0.1 * L56 * B56</f>
        <v>1.600000000000001</v>
      </c>
      <c r="AD56" s="2">
        <f t="shared" ref="AD56:AD60" si="43">AD55 + 0.1 * L56 * C56</f>
        <v>2.4000000000000004</v>
      </c>
      <c r="AE56" s="2">
        <f t="shared" ref="AE56:AE60" si="44">AE55 + 0.1 * L56 * D56</f>
        <v>0</v>
      </c>
      <c r="AF56" s="2">
        <f t="shared" ref="AF56:AF60" si="45">AF55 + 0.1 * L56 * E56</f>
        <v>-0.39999999999999991</v>
      </c>
      <c r="AG56" s="2">
        <f t="shared" ref="AG56:AG60" si="46">AG55 + 0.1 * L56 * F56</f>
        <v>-1.2000000000000002</v>
      </c>
      <c r="AH56" s="2">
        <f t="shared" ref="AH56:AH60" si="47">AH55 + 0.1 * L56 * G56</f>
        <v>-0.39999999999999991</v>
      </c>
      <c r="AI56" s="2">
        <f t="shared" ref="AI56:AI60" si="48">AI55 + 0.1 * L56</f>
        <v>0.8</v>
      </c>
    </row>
    <row r="57" spans="1:35" x14ac:dyDescent="0.25">
      <c r="A57" s="2">
        <v>4</v>
      </c>
      <c r="B57" s="2">
        <v>5</v>
      </c>
      <c r="C57" s="2">
        <v>5</v>
      </c>
      <c r="D57" s="2">
        <v>9</v>
      </c>
      <c r="E57" s="2">
        <v>9</v>
      </c>
      <c r="F57" s="2">
        <v>9</v>
      </c>
      <c r="G57" s="2">
        <v>8</v>
      </c>
      <c r="H57" s="2">
        <f t="shared" si="37"/>
        <v>4559998</v>
      </c>
      <c r="I57" s="2">
        <f t="shared" si="1"/>
        <v>-1</v>
      </c>
      <c r="J57" s="2">
        <f t="shared" si="38"/>
        <v>33.599999999999994</v>
      </c>
      <c r="K57" s="2">
        <f t="shared" si="39"/>
        <v>-1</v>
      </c>
      <c r="L57" s="12">
        <f t="shared" si="40"/>
        <v>0</v>
      </c>
      <c r="AB57" s="2">
        <f t="shared" si="41"/>
        <v>7.8</v>
      </c>
      <c r="AC57" s="2">
        <f t="shared" si="42"/>
        <v>1.600000000000001</v>
      </c>
      <c r="AD57" s="2">
        <f t="shared" si="43"/>
        <v>2.4000000000000004</v>
      </c>
      <c r="AE57" s="2">
        <f t="shared" si="44"/>
        <v>0</v>
      </c>
      <c r="AF57" s="2">
        <f t="shared" si="45"/>
        <v>-0.39999999999999991</v>
      </c>
      <c r="AG57" s="2">
        <f t="shared" si="46"/>
        <v>-1.2000000000000002</v>
      </c>
      <c r="AH57" s="2">
        <f t="shared" si="47"/>
        <v>-0.39999999999999991</v>
      </c>
      <c r="AI57" s="2">
        <f t="shared" si="48"/>
        <v>0.8</v>
      </c>
    </row>
    <row r="58" spans="1:35" x14ac:dyDescent="0.25">
      <c r="A58" s="2">
        <v>5</v>
      </c>
      <c r="B58" s="2">
        <v>2</v>
      </c>
      <c r="C58" s="2">
        <v>8</v>
      </c>
      <c r="D58" s="2">
        <v>2</v>
      </c>
      <c r="E58" s="2">
        <v>4</v>
      </c>
      <c r="F58" s="2">
        <v>6</v>
      </c>
      <c r="G58" s="2">
        <v>7</v>
      </c>
      <c r="H58" s="2">
        <f t="shared" si="37"/>
        <v>5282467</v>
      </c>
      <c r="I58" s="2">
        <f t="shared" si="1"/>
        <v>1</v>
      </c>
      <c r="J58" s="2">
        <f t="shared" si="38"/>
        <v>49.800000000000004</v>
      </c>
      <c r="K58" s="2">
        <f t="shared" si="39"/>
        <v>1</v>
      </c>
      <c r="L58" s="12">
        <f t="shared" si="40"/>
        <v>0</v>
      </c>
      <c r="AB58" s="2">
        <f t="shared" si="41"/>
        <v>7.8</v>
      </c>
      <c r="AC58" s="2">
        <f t="shared" si="42"/>
        <v>1.600000000000001</v>
      </c>
      <c r="AD58" s="2">
        <f t="shared" si="43"/>
        <v>2.4000000000000004</v>
      </c>
      <c r="AE58" s="2">
        <f t="shared" si="44"/>
        <v>0</v>
      </c>
      <c r="AF58" s="2">
        <f t="shared" si="45"/>
        <v>-0.39999999999999991</v>
      </c>
      <c r="AG58" s="2">
        <f t="shared" si="46"/>
        <v>-1.2000000000000002</v>
      </c>
      <c r="AH58" s="2">
        <f t="shared" si="47"/>
        <v>-0.39999999999999991</v>
      </c>
      <c r="AI58" s="2">
        <f t="shared" si="48"/>
        <v>0.8</v>
      </c>
    </row>
    <row r="59" spans="1:35" x14ac:dyDescent="0.25">
      <c r="A59" s="2">
        <v>5</v>
      </c>
      <c r="B59" s="2">
        <v>3</v>
      </c>
      <c r="C59" s="2">
        <v>8</v>
      </c>
      <c r="D59" s="2">
        <v>2</v>
      </c>
      <c r="E59" s="2">
        <v>4</v>
      </c>
      <c r="F59" s="2">
        <v>6</v>
      </c>
      <c r="G59" s="2">
        <v>7</v>
      </c>
      <c r="H59" s="2">
        <f t="shared" si="37"/>
        <v>5382467</v>
      </c>
      <c r="I59" s="2">
        <f t="shared" si="1"/>
        <v>1</v>
      </c>
      <c r="J59" s="2">
        <f t="shared" si="38"/>
        <v>51.400000000000006</v>
      </c>
      <c r="K59" s="2">
        <f t="shared" si="39"/>
        <v>1</v>
      </c>
      <c r="L59" s="12">
        <f t="shared" si="40"/>
        <v>0</v>
      </c>
      <c r="AB59" s="2">
        <f t="shared" si="41"/>
        <v>7.8</v>
      </c>
      <c r="AC59" s="2">
        <f t="shared" si="42"/>
        <v>1.600000000000001</v>
      </c>
      <c r="AD59" s="2">
        <f t="shared" si="43"/>
        <v>2.4000000000000004</v>
      </c>
      <c r="AE59" s="2">
        <f t="shared" si="44"/>
        <v>0</v>
      </c>
      <c r="AF59" s="2">
        <f t="shared" si="45"/>
        <v>-0.39999999999999991</v>
      </c>
      <c r="AG59" s="2">
        <f t="shared" si="46"/>
        <v>-1.2000000000000002</v>
      </c>
      <c r="AH59" s="2">
        <f t="shared" si="47"/>
        <v>-0.39999999999999991</v>
      </c>
      <c r="AI59" s="2">
        <f t="shared" si="48"/>
        <v>0.8</v>
      </c>
    </row>
    <row r="60" spans="1:35" x14ac:dyDescent="0.25">
      <c r="A60" s="2">
        <v>5</v>
      </c>
      <c r="B60" s="2">
        <v>2</v>
      </c>
      <c r="C60" s="2">
        <v>2</v>
      </c>
      <c r="D60" s="2">
        <v>9</v>
      </c>
      <c r="E60" s="2">
        <v>8</v>
      </c>
      <c r="F60" s="2">
        <v>7</v>
      </c>
      <c r="G60" s="2">
        <v>6</v>
      </c>
      <c r="H60" s="2">
        <f t="shared" si="37"/>
        <v>5229876</v>
      </c>
      <c r="I60" s="2">
        <f t="shared" si="1"/>
        <v>-1</v>
      </c>
      <c r="J60" s="2">
        <f t="shared" si="38"/>
        <v>32.999999999999993</v>
      </c>
      <c r="K60" s="2">
        <f t="shared" si="39"/>
        <v>-1</v>
      </c>
      <c r="L60" s="12">
        <f t="shared" si="40"/>
        <v>0</v>
      </c>
      <c r="AB60" s="2">
        <f t="shared" si="41"/>
        <v>7.8</v>
      </c>
      <c r="AC60" s="2">
        <f t="shared" si="42"/>
        <v>1.600000000000001</v>
      </c>
      <c r="AD60" s="2">
        <f t="shared" si="43"/>
        <v>2.4000000000000004</v>
      </c>
      <c r="AE60" s="2">
        <f t="shared" si="44"/>
        <v>0</v>
      </c>
      <c r="AF60" s="2">
        <f t="shared" si="45"/>
        <v>-0.39999999999999991</v>
      </c>
      <c r="AG60" s="2">
        <f t="shared" si="46"/>
        <v>-1.2000000000000002</v>
      </c>
      <c r="AH60" s="2">
        <f t="shared" si="47"/>
        <v>-0.39999999999999991</v>
      </c>
      <c r="AI60" s="2">
        <f t="shared" si="48"/>
        <v>0.8</v>
      </c>
    </row>
    <row r="61" spans="1:35" x14ac:dyDescent="0.25">
      <c r="A61" s="2">
        <v>9</v>
      </c>
      <c r="B61" s="2">
        <v>0</v>
      </c>
      <c r="C61" s="2">
        <v>0</v>
      </c>
      <c r="D61" s="2">
        <v>1</v>
      </c>
      <c r="E61" s="2">
        <v>2</v>
      </c>
      <c r="F61" s="2">
        <v>3</v>
      </c>
      <c r="G61" s="2">
        <v>4</v>
      </c>
      <c r="H61" s="2">
        <f t="shared" ref="H61:H70" si="49">VALUE(A61&amp;B61&amp;C61&amp;D61&amp;E61&amp;F61&amp;G61)</f>
        <v>9001234</v>
      </c>
      <c r="I61" s="2">
        <f t="shared" si="1"/>
        <v>1</v>
      </c>
      <c r="J61" s="2">
        <f t="shared" ref="J61:J70" si="50">A61*AB60+B61*AC60+C61*AD60+D61*AE60+E61*AF60+F61*AG60+G61*AH60</f>
        <v>64.200000000000017</v>
      </c>
      <c r="K61" s="2">
        <f t="shared" ref="K61:K70" si="51">IF(J61 +AI60 &gt;= 35, 1, -1)</f>
        <v>1</v>
      </c>
      <c r="L61" s="12">
        <f t="shared" ref="L61:L70" si="52">I61 - K61</f>
        <v>0</v>
      </c>
      <c r="AB61" s="2">
        <f t="shared" ref="AB61:AB70" si="53">AB60+0.1*L61*A61</f>
        <v>7.8</v>
      </c>
      <c r="AC61" s="2">
        <f t="shared" ref="AC61:AC70" si="54">AC60 + 0.1 * L61 * B61</f>
        <v>1.600000000000001</v>
      </c>
      <c r="AD61" s="2">
        <f t="shared" ref="AD61:AD70" si="55">AD60 + 0.1 * L61 * C61</f>
        <v>2.4000000000000004</v>
      </c>
      <c r="AE61" s="2">
        <f t="shared" ref="AE61:AE70" si="56">AE60 + 0.1 * L61 * D61</f>
        <v>0</v>
      </c>
      <c r="AF61" s="2">
        <f t="shared" ref="AF61:AF70" si="57">AF60 + 0.1 * L61 * E61</f>
        <v>-0.39999999999999991</v>
      </c>
      <c r="AG61" s="2">
        <f t="shared" ref="AG61:AG70" si="58">AG60 + 0.1 * L61 * F61</f>
        <v>-1.2000000000000002</v>
      </c>
      <c r="AH61" s="2">
        <f t="shared" ref="AH61:AH70" si="59">AH60 + 0.1 * L61 * G61</f>
        <v>-0.39999999999999991</v>
      </c>
      <c r="AI61" s="2">
        <f t="shared" ref="AI61:AI70" si="60">AI60 + 0.1 * L61</f>
        <v>0.8</v>
      </c>
    </row>
    <row r="62" spans="1:35" x14ac:dyDescent="0.25">
      <c r="A62" s="2">
        <v>5</v>
      </c>
      <c r="B62" s="2">
        <v>0</v>
      </c>
      <c r="C62" s="2">
        <v>0</v>
      </c>
      <c r="D62" s="2">
        <v>9</v>
      </c>
      <c r="E62" s="2">
        <v>9</v>
      </c>
      <c r="F62" s="2">
        <v>9</v>
      </c>
      <c r="G62" s="2">
        <v>9</v>
      </c>
      <c r="H62" s="2">
        <f t="shared" si="49"/>
        <v>5009999</v>
      </c>
      <c r="I62" s="2">
        <f t="shared" si="1"/>
        <v>-1</v>
      </c>
      <c r="J62" s="2">
        <f t="shared" si="50"/>
        <v>21</v>
      </c>
      <c r="K62" s="2">
        <f t="shared" si="51"/>
        <v>-1</v>
      </c>
      <c r="L62" s="12">
        <f t="shared" si="52"/>
        <v>0</v>
      </c>
      <c r="AB62" s="2">
        <f t="shared" si="53"/>
        <v>7.8</v>
      </c>
      <c r="AC62" s="2">
        <f t="shared" si="54"/>
        <v>1.600000000000001</v>
      </c>
      <c r="AD62" s="2">
        <f t="shared" si="55"/>
        <v>2.4000000000000004</v>
      </c>
      <c r="AE62" s="2">
        <f t="shared" si="56"/>
        <v>0</v>
      </c>
      <c r="AF62" s="2">
        <f t="shared" si="57"/>
        <v>-0.39999999999999991</v>
      </c>
      <c r="AG62" s="2">
        <f t="shared" si="58"/>
        <v>-1.2000000000000002</v>
      </c>
      <c r="AH62" s="2">
        <f t="shared" si="59"/>
        <v>-0.39999999999999991</v>
      </c>
      <c r="AI62" s="2">
        <f t="shared" si="60"/>
        <v>0.8</v>
      </c>
    </row>
    <row r="63" spans="1:35" x14ac:dyDescent="0.25">
      <c r="A63" s="2">
        <v>5</v>
      </c>
      <c r="B63" s="2">
        <v>2</v>
      </c>
      <c r="C63" s="2">
        <v>2</v>
      </c>
      <c r="D63" s="2">
        <v>8</v>
      </c>
      <c r="E63" s="2">
        <v>8</v>
      </c>
      <c r="F63" s="2">
        <v>9</v>
      </c>
      <c r="G63" s="2">
        <v>7</v>
      </c>
      <c r="H63" s="2">
        <f t="shared" si="49"/>
        <v>5228897</v>
      </c>
      <c r="I63" s="2">
        <f t="shared" si="1"/>
        <v>-1</v>
      </c>
      <c r="J63" s="2">
        <f t="shared" si="50"/>
        <v>30.2</v>
      </c>
      <c r="K63" s="2">
        <f t="shared" si="51"/>
        <v>-1</v>
      </c>
      <c r="L63" s="12">
        <f t="shared" si="52"/>
        <v>0</v>
      </c>
      <c r="AB63" s="2">
        <f t="shared" si="53"/>
        <v>7.8</v>
      </c>
      <c r="AC63" s="2">
        <f t="shared" si="54"/>
        <v>1.600000000000001</v>
      </c>
      <c r="AD63" s="2">
        <f t="shared" si="55"/>
        <v>2.4000000000000004</v>
      </c>
      <c r="AE63" s="2">
        <f t="shared" si="56"/>
        <v>0</v>
      </c>
      <c r="AF63" s="2">
        <f t="shared" si="57"/>
        <v>-0.39999999999999991</v>
      </c>
      <c r="AG63" s="2">
        <f t="shared" si="58"/>
        <v>-1.2000000000000002</v>
      </c>
      <c r="AH63" s="2">
        <f t="shared" si="59"/>
        <v>-0.39999999999999991</v>
      </c>
      <c r="AI63" s="2">
        <f t="shared" si="60"/>
        <v>0.8</v>
      </c>
    </row>
    <row r="64" spans="1:35" x14ac:dyDescent="0.25">
      <c r="A64" s="2">
        <v>2</v>
      </c>
      <c r="B64" s="2">
        <v>3</v>
      </c>
      <c r="C64" s="2">
        <v>3</v>
      </c>
      <c r="D64" s="2">
        <v>9</v>
      </c>
      <c r="E64" s="2">
        <v>8</v>
      </c>
      <c r="F64" s="2">
        <v>7</v>
      </c>
      <c r="G64" s="2">
        <v>6</v>
      </c>
      <c r="H64" s="2">
        <f t="shared" si="49"/>
        <v>2339876</v>
      </c>
      <c r="I64" s="2">
        <f t="shared" si="1"/>
        <v>-1</v>
      </c>
      <c r="J64" s="2">
        <f t="shared" si="50"/>
        <v>13.600000000000001</v>
      </c>
      <c r="K64" s="2">
        <f t="shared" si="51"/>
        <v>-1</v>
      </c>
      <c r="L64" s="12">
        <f t="shared" si="52"/>
        <v>0</v>
      </c>
      <c r="AB64" s="2">
        <f t="shared" si="53"/>
        <v>7.8</v>
      </c>
      <c r="AC64" s="2">
        <f t="shared" si="54"/>
        <v>1.600000000000001</v>
      </c>
      <c r="AD64" s="2">
        <f t="shared" si="55"/>
        <v>2.4000000000000004</v>
      </c>
      <c r="AE64" s="2">
        <f t="shared" si="56"/>
        <v>0</v>
      </c>
      <c r="AF64" s="2">
        <f t="shared" si="57"/>
        <v>-0.39999999999999991</v>
      </c>
      <c r="AG64" s="2">
        <f t="shared" si="58"/>
        <v>-1.2000000000000002</v>
      </c>
      <c r="AH64" s="2">
        <f t="shared" si="59"/>
        <v>-0.39999999999999991</v>
      </c>
      <c r="AI64" s="2">
        <f t="shared" si="60"/>
        <v>0.8</v>
      </c>
    </row>
    <row r="65" spans="1:35" x14ac:dyDescent="0.25">
      <c r="A65" s="2">
        <v>5</v>
      </c>
      <c r="B65" s="2">
        <v>5</v>
      </c>
      <c r="C65" s="2">
        <v>5</v>
      </c>
      <c r="D65" s="2">
        <v>1</v>
      </c>
      <c r="E65" s="2">
        <v>2</v>
      </c>
      <c r="F65" s="2">
        <v>3</v>
      </c>
      <c r="G65" s="2">
        <v>4</v>
      </c>
      <c r="H65" s="2">
        <f t="shared" si="49"/>
        <v>5551234</v>
      </c>
      <c r="I65" s="2">
        <f t="shared" si="1"/>
        <v>1</v>
      </c>
      <c r="J65" s="2">
        <f t="shared" si="50"/>
        <v>53.000000000000007</v>
      </c>
      <c r="K65" s="2">
        <f t="shared" si="51"/>
        <v>1</v>
      </c>
      <c r="L65" s="12">
        <f t="shared" si="52"/>
        <v>0</v>
      </c>
      <c r="AB65" s="2">
        <f t="shared" si="53"/>
        <v>7.8</v>
      </c>
      <c r="AC65" s="2">
        <f t="shared" si="54"/>
        <v>1.600000000000001</v>
      </c>
      <c r="AD65" s="2">
        <f t="shared" si="55"/>
        <v>2.4000000000000004</v>
      </c>
      <c r="AE65" s="2">
        <f t="shared" si="56"/>
        <v>0</v>
      </c>
      <c r="AF65" s="2">
        <f t="shared" si="57"/>
        <v>-0.39999999999999991</v>
      </c>
      <c r="AG65" s="2">
        <f t="shared" si="58"/>
        <v>-1.2000000000000002</v>
      </c>
      <c r="AH65" s="2">
        <f t="shared" si="59"/>
        <v>-0.39999999999999991</v>
      </c>
      <c r="AI65" s="2">
        <f t="shared" si="60"/>
        <v>0.8</v>
      </c>
    </row>
    <row r="66" spans="1:35" x14ac:dyDescent="0.25">
      <c r="A66" s="2">
        <v>9</v>
      </c>
      <c r="B66" s="2">
        <v>0</v>
      </c>
      <c r="C66" s="2">
        <v>0</v>
      </c>
      <c r="D66" s="2">
        <v>1</v>
      </c>
      <c r="E66" s="2">
        <v>1</v>
      </c>
      <c r="F66" s="2">
        <v>1</v>
      </c>
      <c r="G66" s="2">
        <v>1</v>
      </c>
      <c r="H66" s="2">
        <f t="shared" si="49"/>
        <v>9001111</v>
      </c>
      <c r="I66" s="2">
        <f t="shared" ref="I66:I70" si="61">IF(H66 &gt;= 5282467, 1, -1)</f>
        <v>1</v>
      </c>
      <c r="J66" s="2">
        <f t="shared" si="50"/>
        <v>68.199999999999989</v>
      </c>
      <c r="K66" s="2">
        <f t="shared" si="51"/>
        <v>1</v>
      </c>
      <c r="L66" s="12">
        <f t="shared" si="52"/>
        <v>0</v>
      </c>
      <c r="AB66" s="2">
        <f t="shared" si="53"/>
        <v>7.8</v>
      </c>
      <c r="AC66" s="2">
        <f t="shared" si="54"/>
        <v>1.600000000000001</v>
      </c>
      <c r="AD66" s="2">
        <f t="shared" si="55"/>
        <v>2.4000000000000004</v>
      </c>
      <c r="AE66" s="2">
        <f t="shared" si="56"/>
        <v>0</v>
      </c>
      <c r="AF66" s="2">
        <f t="shared" si="57"/>
        <v>-0.39999999999999991</v>
      </c>
      <c r="AG66" s="2">
        <f t="shared" si="58"/>
        <v>-1.2000000000000002</v>
      </c>
      <c r="AH66" s="2">
        <f t="shared" si="59"/>
        <v>-0.39999999999999991</v>
      </c>
      <c r="AI66" s="2">
        <f t="shared" si="60"/>
        <v>0.8</v>
      </c>
    </row>
    <row r="67" spans="1:35" x14ac:dyDescent="0.25">
      <c r="A67" s="2">
        <v>8</v>
      </c>
      <c r="B67" s="2">
        <v>8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f t="shared" si="49"/>
        <v>8812345</v>
      </c>
      <c r="I67" s="2">
        <f t="shared" si="61"/>
        <v>1</v>
      </c>
      <c r="J67" s="2">
        <f t="shared" si="50"/>
        <v>69.600000000000009</v>
      </c>
      <c r="K67" s="2">
        <f t="shared" si="51"/>
        <v>1</v>
      </c>
      <c r="L67" s="12">
        <f t="shared" si="52"/>
        <v>0</v>
      </c>
      <c r="AB67" s="2">
        <f t="shared" si="53"/>
        <v>7.8</v>
      </c>
      <c r="AC67" s="2">
        <f t="shared" si="54"/>
        <v>1.600000000000001</v>
      </c>
      <c r="AD67" s="2">
        <f t="shared" si="55"/>
        <v>2.4000000000000004</v>
      </c>
      <c r="AE67" s="2">
        <f t="shared" si="56"/>
        <v>0</v>
      </c>
      <c r="AF67" s="2">
        <f t="shared" si="57"/>
        <v>-0.39999999999999991</v>
      </c>
      <c r="AG67" s="2">
        <f t="shared" si="58"/>
        <v>-1.2000000000000002</v>
      </c>
      <c r="AH67" s="2">
        <f t="shared" si="59"/>
        <v>-0.39999999999999991</v>
      </c>
      <c r="AI67" s="2">
        <f t="shared" si="60"/>
        <v>0.8</v>
      </c>
    </row>
    <row r="68" spans="1:35" x14ac:dyDescent="0.25">
      <c r="A68" s="2">
        <v>3</v>
      </c>
      <c r="B68" s="2">
        <v>9</v>
      </c>
      <c r="C68" s="2">
        <v>9</v>
      </c>
      <c r="D68" s="2">
        <v>9</v>
      </c>
      <c r="E68" s="2">
        <v>8</v>
      </c>
      <c r="F68" s="2">
        <v>7</v>
      </c>
      <c r="G68" s="2">
        <v>6</v>
      </c>
      <c r="H68" s="2">
        <f t="shared" si="49"/>
        <v>3999876</v>
      </c>
      <c r="I68" s="2">
        <f t="shared" si="61"/>
        <v>-1</v>
      </c>
      <c r="J68" s="2">
        <f t="shared" si="50"/>
        <v>45.400000000000013</v>
      </c>
      <c r="K68" s="2">
        <f t="shared" si="51"/>
        <v>1</v>
      </c>
      <c r="L68" s="12">
        <f t="shared" si="52"/>
        <v>-2</v>
      </c>
      <c r="AB68" s="2">
        <f t="shared" si="53"/>
        <v>7.1999999999999993</v>
      </c>
      <c r="AC68" s="2">
        <f t="shared" si="54"/>
        <v>-0.19999999999999907</v>
      </c>
      <c r="AD68" s="2">
        <f t="shared" si="55"/>
        <v>0.60000000000000031</v>
      </c>
      <c r="AE68" s="2">
        <f t="shared" si="56"/>
        <v>-1.8</v>
      </c>
      <c r="AF68" s="2">
        <f t="shared" si="57"/>
        <v>-2</v>
      </c>
      <c r="AG68" s="2">
        <f t="shared" si="58"/>
        <v>-2.6000000000000005</v>
      </c>
      <c r="AH68" s="2">
        <f t="shared" si="59"/>
        <v>-1.6</v>
      </c>
      <c r="AI68" s="2">
        <f t="shared" si="60"/>
        <v>0.60000000000000009</v>
      </c>
    </row>
    <row r="69" spans="1:35" x14ac:dyDescent="0.25">
      <c r="A69" s="2">
        <v>5</v>
      </c>
      <c r="B69" s="2">
        <v>2</v>
      </c>
      <c r="C69" s="2">
        <v>8</v>
      </c>
      <c r="D69" s="2">
        <v>2</v>
      </c>
      <c r="E69" s="2">
        <v>4</v>
      </c>
      <c r="F69" s="2">
        <v>6</v>
      </c>
      <c r="G69" s="2">
        <v>7</v>
      </c>
      <c r="H69" s="2">
        <f t="shared" si="49"/>
        <v>5282467</v>
      </c>
      <c r="I69" s="2">
        <f t="shared" si="61"/>
        <v>1</v>
      </c>
      <c r="J69" s="2">
        <f t="shared" si="50"/>
        <v>2</v>
      </c>
      <c r="K69" s="2">
        <f t="shared" si="51"/>
        <v>-1</v>
      </c>
      <c r="L69" s="12">
        <f t="shared" si="52"/>
        <v>2</v>
      </c>
      <c r="AB69" s="2">
        <f t="shared" si="53"/>
        <v>8.1999999999999993</v>
      </c>
      <c r="AC69" s="2">
        <f t="shared" si="54"/>
        <v>0.20000000000000095</v>
      </c>
      <c r="AD69" s="2">
        <f t="shared" si="55"/>
        <v>2.2000000000000002</v>
      </c>
      <c r="AE69" s="2">
        <f t="shared" si="56"/>
        <v>-1.4</v>
      </c>
      <c r="AF69" s="2">
        <f t="shared" si="57"/>
        <v>-1.2</v>
      </c>
      <c r="AG69" s="2">
        <f t="shared" si="58"/>
        <v>-1.4000000000000004</v>
      </c>
      <c r="AH69" s="2">
        <f t="shared" si="59"/>
        <v>-0.19999999999999996</v>
      </c>
      <c r="AI69" s="2">
        <f t="shared" si="60"/>
        <v>0.8</v>
      </c>
    </row>
    <row r="70" spans="1:35" x14ac:dyDescent="0.25">
      <c r="A70" s="2">
        <v>5</v>
      </c>
      <c r="B70" s="2">
        <v>2</v>
      </c>
      <c r="C70" s="2">
        <v>8</v>
      </c>
      <c r="D70" s="2">
        <v>2</v>
      </c>
      <c r="E70" s="2">
        <v>4</v>
      </c>
      <c r="F70" s="2">
        <v>6</v>
      </c>
      <c r="G70" s="2">
        <v>7</v>
      </c>
      <c r="H70" s="2">
        <f t="shared" si="49"/>
        <v>5282467</v>
      </c>
      <c r="I70" s="2">
        <f t="shared" si="61"/>
        <v>1</v>
      </c>
      <c r="J70" s="2">
        <f t="shared" si="50"/>
        <v>41.6</v>
      </c>
      <c r="K70" s="2">
        <f t="shared" si="51"/>
        <v>1</v>
      </c>
      <c r="L70" s="12">
        <f t="shared" si="52"/>
        <v>0</v>
      </c>
      <c r="AB70" s="2">
        <f t="shared" si="53"/>
        <v>8.1999999999999993</v>
      </c>
      <c r="AC70" s="2">
        <f t="shared" si="54"/>
        <v>0.20000000000000095</v>
      </c>
      <c r="AD70" s="2">
        <f t="shared" si="55"/>
        <v>2.2000000000000002</v>
      </c>
      <c r="AE70" s="2">
        <f t="shared" si="56"/>
        <v>-1.4</v>
      </c>
      <c r="AF70" s="2">
        <f t="shared" si="57"/>
        <v>-1.2</v>
      </c>
      <c r="AG70" s="2">
        <f t="shared" si="58"/>
        <v>-1.4000000000000004</v>
      </c>
      <c r="AH70" s="2">
        <f t="shared" si="59"/>
        <v>-0.19999999999999996</v>
      </c>
      <c r="AI70" s="2">
        <f t="shared" si="60"/>
        <v>0.8</v>
      </c>
    </row>
  </sheetData>
  <mergeCells count="2">
    <mergeCell ref="N4:P4"/>
    <mergeCell ref="N5:P5"/>
  </mergeCells>
  <conditionalFormatting sqref="L2">
    <cfRule type="cellIs" dxfId="8" priority="7" operator="notEqual">
      <formula>0</formula>
    </cfRule>
  </conditionalFormatting>
  <conditionalFormatting sqref="L3:L51">
    <cfRule type="cellIs" dxfId="7" priority="6" operator="notEqual">
      <formula>0</formula>
    </cfRule>
  </conditionalFormatting>
  <conditionalFormatting sqref="L52:L55">
    <cfRule type="cellIs" dxfId="6" priority="5" operator="notEqual">
      <formula>0</formula>
    </cfRule>
  </conditionalFormatting>
  <conditionalFormatting sqref="L56:L60">
    <cfRule type="cellIs" dxfId="5" priority="4" operator="notEqual">
      <formula>0</formula>
    </cfRule>
  </conditionalFormatting>
  <conditionalFormatting sqref="L61:L70">
    <cfRule type="cellIs" dxfId="4" priority="3" operator="notEqual">
      <formula>0</formula>
    </cfRule>
  </conditionalFormatting>
  <conditionalFormatting sqref="A2:K70">
    <cfRule type="expression" dxfId="2" priority="2">
      <formula>MOD(ROW(),2)=0</formula>
    </cfRule>
  </conditionalFormatting>
  <conditionalFormatting sqref="AB1:AI70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0"/>
  <sheetViews>
    <sheetView workbookViewId="0">
      <selection activeCell="N10" sqref="N10"/>
    </sheetView>
  </sheetViews>
  <sheetFormatPr defaultRowHeight="15" x14ac:dyDescent="0.25"/>
  <cols>
    <col min="12" max="12" width="9.140625" style="14"/>
    <col min="14" max="14" width="16.85546875" customWidth="1"/>
  </cols>
  <sheetData>
    <row r="1" spans="1:33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41</v>
      </c>
      <c r="I1" s="6" t="s">
        <v>42</v>
      </c>
      <c r="J1" s="6" t="s">
        <v>47</v>
      </c>
      <c r="K1" s="6" t="s">
        <v>44</v>
      </c>
      <c r="L1" s="15" t="s">
        <v>40</v>
      </c>
      <c r="N1" s="6" t="s">
        <v>48</v>
      </c>
    </row>
    <row r="2" spans="1:33" x14ac:dyDescent="0.25">
      <c r="A2" s="2">
        <v>5</v>
      </c>
      <c r="B2" s="2">
        <v>5</v>
      </c>
      <c r="C2" s="2">
        <v>4</v>
      </c>
      <c r="D2" s="2">
        <v>3</v>
      </c>
      <c r="E2" s="2">
        <v>7</v>
      </c>
      <c r="F2" s="2">
        <v>8</v>
      </c>
      <c r="G2" s="2">
        <v>9</v>
      </c>
      <c r="H2" s="2">
        <f>VALUE(A2&amp;B2&amp;C2&amp;D2&amp;E2&amp;F2&amp;G2)</f>
        <v>5543789</v>
      </c>
      <c r="I2" s="2">
        <f>IF(H2 &gt;= 5282467, 1, -1)</f>
        <v>1</v>
      </c>
      <c r="J2" s="2">
        <f>A2*$Z$2 + B2*$AA$2 + C2*$AB$2 + D2*$AC$2 + E2*$AD$2 + F2*$AE$2 + G2*$AF$2</f>
        <v>25.199999999999996</v>
      </c>
      <c r="K2" s="2">
        <f>IF(J2 + $AG$2 &gt;= 35, 1, -1)</f>
        <v>-1</v>
      </c>
      <c r="L2" s="12">
        <f>I2-K2</f>
        <v>2</v>
      </c>
      <c r="N2">
        <f>COUNTIF(L2:L50, 0)/COUNTA(L2:L50)*100</f>
        <v>85.714285714285708</v>
      </c>
      <c r="Z2" s="2">
        <v>8.1999999999999993</v>
      </c>
      <c r="AA2" s="2">
        <v>0.2</v>
      </c>
      <c r="AB2" s="2">
        <v>2.2000000000000002</v>
      </c>
      <c r="AC2" s="2">
        <v>-1.4</v>
      </c>
      <c r="AD2" s="2">
        <v>-1.2</v>
      </c>
      <c r="AE2" s="2">
        <v>-1.4</v>
      </c>
      <c r="AF2" s="2">
        <v>-0.2</v>
      </c>
      <c r="AG2" s="2">
        <v>0.8</v>
      </c>
    </row>
    <row r="3" spans="1:33" x14ac:dyDescent="0.25">
      <c r="A3" s="2">
        <v>4</v>
      </c>
      <c r="B3" s="2">
        <v>5</v>
      </c>
      <c r="C3" s="2">
        <v>6</v>
      </c>
      <c r="D3" s="2">
        <v>7</v>
      </c>
      <c r="E3" s="2">
        <v>8</v>
      </c>
      <c r="F3" s="2">
        <v>9</v>
      </c>
      <c r="G3" s="2">
        <v>9</v>
      </c>
      <c r="H3" s="2">
        <f t="shared" ref="H3:H20" si="0">VALUE(A3&amp;B3&amp;C3&amp;D3&amp;E3&amp;F3&amp;G3)</f>
        <v>4567899</v>
      </c>
      <c r="I3" s="2">
        <f t="shared" ref="I3:I50" si="1">IF(H3 &gt;= 5282467, 1, -1)</f>
        <v>-1</v>
      </c>
      <c r="J3" s="2">
        <f t="shared" ref="J3:J20" si="2">A3*$Z$2 + B3*$AA$2 + C3*$AB$2 + D3*$AC$2 + E3*$AD$2 + F3*$AE$2 + G3*$AF$2</f>
        <v>13.200000000000001</v>
      </c>
      <c r="K3" s="2">
        <f t="shared" ref="K3:K50" si="3">IF(J3 + $AG$2 &gt;= 35, 1, -1)</f>
        <v>-1</v>
      </c>
      <c r="L3" s="12">
        <f t="shared" ref="L3:L20" si="4">I3-K3</f>
        <v>0</v>
      </c>
    </row>
    <row r="4" spans="1:33" x14ac:dyDescent="0.25">
      <c r="A4" s="2">
        <v>5</v>
      </c>
      <c r="B4" s="2">
        <v>3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f t="shared" si="0"/>
        <v>5334567</v>
      </c>
      <c r="I4" s="2">
        <f t="shared" si="1"/>
        <v>1</v>
      </c>
      <c r="J4" s="2">
        <f t="shared" si="2"/>
        <v>26.800000000000004</v>
      </c>
      <c r="K4" s="2">
        <f t="shared" si="3"/>
        <v>-1</v>
      </c>
      <c r="L4" s="12">
        <f t="shared" si="4"/>
        <v>2</v>
      </c>
    </row>
    <row r="5" spans="1:33" x14ac:dyDescent="0.25">
      <c r="A5" s="2">
        <v>8</v>
      </c>
      <c r="B5" s="2">
        <v>8</v>
      </c>
      <c r="C5" s="2">
        <v>9</v>
      </c>
      <c r="D5" s="2">
        <v>8</v>
      </c>
      <c r="E5" s="2">
        <v>7</v>
      </c>
      <c r="F5" s="2">
        <v>6</v>
      </c>
      <c r="G5" s="2">
        <v>5</v>
      </c>
      <c r="H5" s="2">
        <f t="shared" si="0"/>
        <v>8898765</v>
      </c>
      <c r="I5" s="2">
        <f t="shared" si="1"/>
        <v>1</v>
      </c>
      <c r="J5" s="2">
        <f t="shared" si="2"/>
        <v>57.999999999999979</v>
      </c>
      <c r="K5" s="2">
        <f t="shared" si="3"/>
        <v>1</v>
      </c>
      <c r="L5" s="12">
        <f t="shared" si="4"/>
        <v>0</v>
      </c>
    </row>
    <row r="6" spans="1:33" x14ac:dyDescent="0.25">
      <c r="A6" s="2">
        <v>4</v>
      </c>
      <c r="B6" s="2">
        <v>5</v>
      </c>
      <c r="C6" s="2">
        <v>5</v>
      </c>
      <c r="D6" s="2">
        <v>6</v>
      </c>
      <c r="E6" s="2">
        <v>7</v>
      </c>
      <c r="F6" s="2">
        <v>8</v>
      </c>
      <c r="G6" s="2">
        <v>9</v>
      </c>
      <c r="H6" s="2">
        <f t="shared" si="0"/>
        <v>4556789</v>
      </c>
      <c r="I6" s="2">
        <f t="shared" si="1"/>
        <v>-1</v>
      </c>
      <c r="J6" s="2">
        <f t="shared" si="2"/>
        <v>15</v>
      </c>
      <c r="K6" s="2">
        <f t="shared" si="3"/>
        <v>-1</v>
      </c>
      <c r="L6" s="12">
        <f t="shared" si="4"/>
        <v>0</v>
      </c>
    </row>
    <row r="7" spans="1:33" x14ac:dyDescent="0.25">
      <c r="A7" s="2">
        <v>5</v>
      </c>
      <c r="B7" s="2">
        <v>4</v>
      </c>
      <c r="C7" s="2">
        <v>3</v>
      </c>
      <c r="D7" s="2">
        <v>2</v>
      </c>
      <c r="E7" s="2">
        <v>7</v>
      </c>
      <c r="F7" s="2">
        <v>8</v>
      </c>
      <c r="G7" s="2">
        <v>9</v>
      </c>
      <c r="H7" s="2">
        <f t="shared" si="0"/>
        <v>5432789</v>
      </c>
      <c r="I7" s="2">
        <f t="shared" si="1"/>
        <v>1</v>
      </c>
      <c r="J7" s="2">
        <f t="shared" si="2"/>
        <v>24.200000000000003</v>
      </c>
      <c r="K7" s="2">
        <f t="shared" si="3"/>
        <v>-1</v>
      </c>
      <c r="L7" s="12">
        <f t="shared" si="4"/>
        <v>2</v>
      </c>
    </row>
    <row r="8" spans="1:33" x14ac:dyDescent="0.25">
      <c r="A8" s="2">
        <v>5</v>
      </c>
      <c r="B8" s="2">
        <v>5</v>
      </c>
      <c r="C8" s="2">
        <v>4</v>
      </c>
      <c r="D8" s="2">
        <v>5</v>
      </c>
      <c r="E8" s="2">
        <v>6</v>
      </c>
      <c r="F8" s="2">
        <v>7</v>
      </c>
      <c r="G8" s="2">
        <v>8</v>
      </c>
      <c r="H8" s="2">
        <f t="shared" si="0"/>
        <v>5545678</v>
      </c>
      <c r="I8" s="2">
        <f t="shared" si="1"/>
        <v>1</v>
      </c>
      <c r="J8" s="2">
        <f t="shared" si="2"/>
        <v>25.199999999999996</v>
      </c>
      <c r="K8" s="2">
        <f t="shared" si="3"/>
        <v>-1</v>
      </c>
      <c r="L8" s="12">
        <f t="shared" si="4"/>
        <v>2</v>
      </c>
    </row>
    <row r="9" spans="1:33" x14ac:dyDescent="0.25">
      <c r="A9" s="2">
        <v>5</v>
      </c>
      <c r="B9" s="2">
        <v>6</v>
      </c>
      <c r="C9" s="2">
        <v>7</v>
      </c>
      <c r="D9" s="2">
        <v>8</v>
      </c>
      <c r="E9" s="2">
        <v>9</v>
      </c>
      <c r="F9" s="2">
        <v>9</v>
      </c>
      <c r="G9" s="2">
        <v>9</v>
      </c>
      <c r="H9" s="2">
        <f t="shared" si="0"/>
        <v>5678999</v>
      </c>
      <c r="I9" s="2">
        <f t="shared" si="1"/>
        <v>1</v>
      </c>
      <c r="J9" s="2">
        <f t="shared" si="2"/>
        <v>21.200000000000006</v>
      </c>
      <c r="K9" s="2">
        <f t="shared" si="3"/>
        <v>-1</v>
      </c>
      <c r="L9" s="12">
        <f t="shared" si="4"/>
        <v>2</v>
      </c>
    </row>
    <row r="10" spans="1:33" x14ac:dyDescent="0.25">
      <c r="A10" s="2">
        <v>5</v>
      </c>
      <c r="B10" s="2">
        <v>6</v>
      </c>
      <c r="C10" s="2">
        <v>5</v>
      </c>
      <c r="D10" s="2">
        <v>4</v>
      </c>
      <c r="E10" s="2">
        <v>3</v>
      </c>
      <c r="F10" s="2">
        <v>2</v>
      </c>
      <c r="G10" s="2">
        <v>1</v>
      </c>
      <c r="H10" s="2">
        <f t="shared" si="0"/>
        <v>5654321</v>
      </c>
      <c r="I10" s="2">
        <f t="shared" si="1"/>
        <v>1</v>
      </c>
      <c r="J10" s="2">
        <f t="shared" si="2"/>
        <v>41</v>
      </c>
      <c r="K10" s="2">
        <f t="shared" si="3"/>
        <v>1</v>
      </c>
      <c r="L10" s="12">
        <f t="shared" si="4"/>
        <v>0</v>
      </c>
    </row>
    <row r="11" spans="1:33" x14ac:dyDescent="0.25">
      <c r="A11" s="2">
        <v>5</v>
      </c>
      <c r="B11" s="2">
        <v>5</v>
      </c>
      <c r="C11" s="2">
        <v>4</v>
      </c>
      <c r="D11" s="2">
        <v>3</v>
      </c>
      <c r="E11" s="2">
        <v>2</v>
      </c>
      <c r="F11" s="2">
        <v>2</v>
      </c>
      <c r="G11" s="2">
        <v>1</v>
      </c>
      <c r="H11" s="2">
        <f t="shared" si="0"/>
        <v>5543221</v>
      </c>
      <c r="I11" s="2">
        <f t="shared" si="1"/>
        <v>1</v>
      </c>
      <c r="J11" s="2">
        <f t="shared" si="2"/>
        <v>41.199999999999996</v>
      </c>
      <c r="K11" s="2">
        <f t="shared" si="3"/>
        <v>1</v>
      </c>
      <c r="L11" s="12">
        <f t="shared" si="4"/>
        <v>0</v>
      </c>
    </row>
    <row r="12" spans="1:33" x14ac:dyDescent="0.25">
      <c r="A12" s="2">
        <v>9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5</v>
      </c>
      <c r="H12" s="2">
        <f t="shared" si="0"/>
        <v>9987655</v>
      </c>
      <c r="I12" s="2">
        <f t="shared" si="1"/>
        <v>1</v>
      </c>
      <c r="J12" s="2">
        <f t="shared" si="2"/>
        <v>68.199999999999989</v>
      </c>
      <c r="K12" s="2">
        <f t="shared" si="3"/>
        <v>1</v>
      </c>
      <c r="L12" s="12">
        <f t="shared" si="4"/>
        <v>0</v>
      </c>
    </row>
    <row r="13" spans="1:33" x14ac:dyDescent="0.25">
      <c r="A13" s="2">
        <v>5</v>
      </c>
      <c r="B13" s="2">
        <v>1</v>
      </c>
      <c r="C13" s="2">
        <v>9</v>
      </c>
      <c r="D13" s="2">
        <v>9</v>
      </c>
      <c r="E13" s="2">
        <v>8</v>
      </c>
      <c r="F13" s="2">
        <v>7</v>
      </c>
      <c r="G13" s="2">
        <v>6</v>
      </c>
      <c r="H13" s="2">
        <f t="shared" si="0"/>
        <v>5199876</v>
      </c>
      <c r="I13" s="2">
        <f t="shared" si="1"/>
        <v>-1</v>
      </c>
      <c r="J13" s="2">
        <f t="shared" si="2"/>
        <v>27.8</v>
      </c>
      <c r="K13" s="2">
        <f t="shared" si="3"/>
        <v>-1</v>
      </c>
      <c r="L13" s="12">
        <f t="shared" si="4"/>
        <v>0</v>
      </c>
    </row>
    <row r="14" spans="1:33" x14ac:dyDescent="0.25">
      <c r="A14" s="2">
        <v>5</v>
      </c>
      <c r="B14" s="2">
        <v>0</v>
      </c>
      <c r="C14" s="2">
        <v>9</v>
      </c>
      <c r="D14" s="2">
        <v>9</v>
      </c>
      <c r="E14" s="2">
        <v>8</v>
      </c>
      <c r="F14" s="2">
        <v>7</v>
      </c>
      <c r="G14" s="2">
        <v>6</v>
      </c>
      <c r="H14" s="2">
        <f t="shared" si="0"/>
        <v>5099876</v>
      </c>
      <c r="I14" s="2">
        <f t="shared" si="1"/>
        <v>-1</v>
      </c>
      <c r="J14" s="2">
        <f t="shared" si="2"/>
        <v>27.599999999999998</v>
      </c>
      <c r="K14" s="2">
        <f t="shared" si="3"/>
        <v>-1</v>
      </c>
      <c r="L14" s="12">
        <f t="shared" si="4"/>
        <v>0</v>
      </c>
    </row>
    <row r="15" spans="1:33" x14ac:dyDescent="0.25">
      <c r="A15" s="2">
        <v>9</v>
      </c>
      <c r="B15" s="2">
        <v>0</v>
      </c>
      <c r="C15" s="2">
        <v>0</v>
      </c>
      <c r="D15" s="2">
        <v>1</v>
      </c>
      <c r="E15" s="2">
        <v>2</v>
      </c>
      <c r="F15" s="2">
        <v>3</v>
      </c>
      <c r="G15" s="2">
        <v>4</v>
      </c>
      <c r="H15" s="2">
        <f t="shared" si="0"/>
        <v>9001234</v>
      </c>
      <c r="I15" s="2">
        <f t="shared" si="1"/>
        <v>1</v>
      </c>
      <c r="J15" s="2">
        <f t="shared" si="2"/>
        <v>64.999999999999986</v>
      </c>
      <c r="K15" s="2">
        <f t="shared" si="3"/>
        <v>1</v>
      </c>
      <c r="L15" s="12">
        <f t="shared" si="4"/>
        <v>0</v>
      </c>
    </row>
    <row r="16" spans="1:33" x14ac:dyDescent="0.25">
      <c r="A16" s="2">
        <v>8</v>
      </c>
      <c r="B16" s="2">
        <v>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f t="shared" si="0"/>
        <v>8800000</v>
      </c>
      <c r="I16" s="2">
        <f t="shared" si="1"/>
        <v>1</v>
      </c>
      <c r="J16" s="2">
        <f t="shared" si="2"/>
        <v>67.199999999999989</v>
      </c>
      <c r="K16" s="2">
        <f t="shared" si="3"/>
        <v>1</v>
      </c>
      <c r="L16" s="12">
        <f t="shared" si="4"/>
        <v>0</v>
      </c>
    </row>
    <row r="17" spans="1:12" x14ac:dyDescent="0.25">
      <c r="A17" s="2">
        <v>0</v>
      </c>
      <c r="B17" s="2">
        <v>0</v>
      </c>
      <c r="C17" s="2">
        <v>9</v>
      </c>
      <c r="D17" s="2">
        <v>9</v>
      </c>
      <c r="E17" s="2">
        <v>8</v>
      </c>
      <c r="F17" s="2">
        <v>7</v>
      </c>
      <c r="G17" s="2">
        <v>6</v>
      </c>
      <c r="H17" s="2">
        <f t="shared" si="0"/>
        <v>99876</v>
      </c>
      <c r="I17" s="2">
        <f t="shared" si="1"/>
        <v>-1</v>
      </c>
      <c r="J17" s="2">
        <f t="shared" si="2"/>
        <v>-13.399999999999999</v>
      </c>
      <c r="K17" s="2">
        <f t="shared" si="3"/>
        <v>-1</v>
      </c>
      <c r="L17" s="12">
        <f t="shared" si="4"/>
        <v>0</v>
      </c>
    </row>
    <row r="18" spans="1:12" x14ac:dyDescent="0.25">
      <c r="A18" s="2">
        <v>0</v>
      </c>
      <c r="B18" s="2">
        <v>9</v>
      </c>
      <c r="C18" s="2">
        <v>9</v>
      </c>
      <c r="D18" s="2">
        <v>9</v>
      </c>
      <c r="E18" s="2">
        <v>9</v>
      </c>
      <c r="F18" s="2">
        <v>9</v>
      </c>
      <c r="G18" s="2">
        <v>8</v>
      </c>
      <c r="H18" s="2">
        <f t="shared" si="0"/>
        <v>999998</v>
      </c>
      <c r="I18" s="2">
        <f t="shared" si="1"/>
        <v>-1</v>
      </c>
      <c r="J18" s="2">
        <f t="shared" si="2"/>
        <v>-15.999999999999996</v>
      </c>
      <c r="K18" s="2">
        <f t="shared" si="3"/>
        <v>-1</v>
      </c>
      <c r="L18" s="12">
        <f t="shared" si="4"/>
        <v>0</v>
      </c>
    </row>
    <row r="19" spans="1:12" x14ac:dyDescent="0.25">
      <c r="A19" s="2">
        <v>1</v>
      </c>
      <c r="B19" s="2">
        <v>2</v>
      </c>
      <c r="C19" s="2">
        <v>3</v>
      </c>
      <c r="D19" s="2">
        <v>4</v>
      </c>
      <c r="E19" s="2">
        <v>5</v>
      </c>
      <c r="F19" s="2">
        <v>6</v>
      </c>
      <c r="G19" s="2">
        <v>7</v>
      </c>
      <c r="H19" s="2">
        <f t="shared" si="0"/>
        <v>1234567</v>
      </c>
      <c r="I19" s="2">
        <f t="shared" si="1"/>
        <v>-1</v>
      </c>
      <c r="J19" s="2">
        <f t="shared" si="2"/>
        <v>-6.1999999999999993</v>
      </c>
      <c r="K19" s="2">
        <f t="shared" si="3"/>
        <v>-1</v>
      </c>
      <c r="L19" s="12">
        <f t="shared" si="4"/>
        <v>0</v>
      </c>
    </row>
    <row r="20" spans="1:12" x14ac:dyDescent="0.25">
      <c r="A20" s="2">
        <v>9</v>
      </c>
      <c r="B20" s="2">
        <v>0</v>
      </c>
      <c r="C20" s="2">
        <v>0</v>
      </c>
      <c r="D20" s="2">
        <v>1</v>
      </c>
      <c r="E20" s="2">
        <v>2</v>
      </c>
      <c r="F20" s="2">
        <v>3</v>
      </c>
      <c r="G20" s="2">
        <v>4</v>
      </c>
      <c r="H20" s="2">
        <f t="shared" si="0"/>
        <v>9001234</v>
      </c>
      <c r="I20" s="2">
        <f t="shared" si="1"/>
        <v>1</v>
      </c>
      <c r="J20" s="2">
        <f t="shared" si="2"/>
        <v>64.999999999999986</v>
      </c>
      <c r="K20" s="2">
        <f t="shared" si="3"/>
        <v>1</v>
      </c>
      <c r="L20" s="12">
        <f t="shared" si="4"/>
        <v>0</v>
      </c>
    </row>
    <row r="21" spans="1:12" x14ac:dyDescent="0.25">
      <c r="A21" s="2">
        <v>2</v>
      </c>
      <c r="B21" s="2">
        <v>9</v>
      </c>
      <c r="C21" s="2">
        <v>9</v>
      </c>
      <c r="D21" s="2">
        <v>9</v>
      </c>
      <c r="E21" s="2">
        <v>8</v>
      </c>
      <c r="F21" s="2">
        <v>7</v>
      </c>
      <c r="G21" s="2">
        <v>6</v>
      </c>
      <c r="H21" s="2">
        <f t="shared" ref="H21:H50" si="5">VALUE(A21&amp;B21&amp;C21&amp;D21&amp;E21&amp;F21&amp;G21)</f>
        <v>2999876</v>
      </c>
      <c r="I21" s="2">
        <f t="shared" si="1"/>
        <v>-1</v>
      </c>
      <c r="J21" s="2">
        <f t="shared" ref="J21:J50" si="6">A21*$Z$2 + B21*$AA$2 + C21*$AB$2 + D21*$AC$2 + E21*$AD$2 + F21*$AE$2 + G21*$AF$2</f>
        <v>4.8</v>
      </c>
      <c r="K21" s="2">
        <f t="shared" si="3"/>
        <v>-1</v>
      </c>
      <c r="L21" s="12">
        <f t="shared" ref="L21:L50" si="7">I21-K21</f>
        <v>0</v>
      </c>
    </row>
    <row r="22" spans="1:12" x14ac:dyDescent="0.25">
      <c r="A22" s="2">
        <v>1</v>
      </c>
      <c r="B22" s="2">
        <v>9</v>
      </c>
      <c r="C22" s="2">
        <v>9</v>
      </c>
      <c r="D22" s="2">
        <v>9</v>
      </c>
      <c r="E22" s="2">
        <v>8</v>
      </c>
      <c r="F22" s="2">
        <v>7</v>
      </c>
      <c r="G22" s="2">
        <v>6</v>
      </c>
      <c r="H22" s="2">
        <f t="shared" si="5"/>
        <v>1999876</v>
      </c>
      <c r="I22" s="2">
        <f t="shared" si="1"/>
        <v>-1</v>
      </c>
      <c r="J22" s="2">
        <f t="shared" si="6"/>
        <v>-3.3999999999999959</v>
      </c>
      <c r="K22" s="2">
        <f t="shared" si="3"/>
        <v>-1</v>
      </c>
      <c r="L22" s="12">
        <f t="shared" si="7"/>
        <v>0</v>
      </c>
    </row>
    <row r="23" spans="1:12" x14ac:dyDescent="0.25">
      <c r="A23" s="2">
        <v>8</v>
      </c>
      <c r="B23" s="2">
        <v>0</v>
      </c>
      <c r="C23" s="2">
        <v>0</v>
      </c>
      <c r="D23" s="2">
        <v>0</v>
      </c>
      <c r="E23" s="2">
        <v>1</v>
      </c>
      <c r="F23" s="2">
        <v>1</v>
      </c>
      <c r="G23" s="2">
        <v>1</v>
      </c>
      <c r="H23" s="2">
        <f t="shared" si="5"/>
        <v>8000111</v>
      </c>
      <c r="I23" s="2">
        <f t="shared" si="1"/>
        <v>1</v>
      </c>
      <c r="J23" s="2">
        <f t="shared" si="6"/>
        <v>62.79999999999999</v>
      </c>
      <c r="K23" s="2">
        <f t="shared" si="3"/>
        <v>1</v>
      </c>
      <c r="L23" s="12">
        <f t="shared" si="7"/>
        <v>0</v>
      </c>
    </row>
    <row r="24" spans="1:12" x14ac:dyDescent="0.25">
      <c r="A24" s="2">
        <v>1</v>
      </c>
      <c r="B24" s="2">
        <v>9</v>
      </c>
      <c r="C24" s="2">
        <v>9</v>
      </c>
      <c r="D24" s="2">
        <v>8</v>
      </c>
      <c r="E24" s="2">
        <v>8</v>
      </c>
      <c r="F24" s="2">
        <v>7</v>
      </c>
      <c r="G24" s="2">
        <v>7</v>
      </c>
      <c r="H24" s="2">
        <f t="shared" si="5"/>
        <v>1998877</v>
      </c>
      <c r="I24" s="2">
        <f t="shared" si="1"/>
        <v>-1</v>
      </c>
      <c r="J24" s="2">
        <f t="shared" si="6"/>
        <v>-2.1999999999999975</v>
      </c>
      <c r="K24" s="2">
        <f t="shared" si="3"/>
        <v>-1</v>
      </c>
      <c r="L24" s="12">
        <f t="shared" si="7"/>
        <v>0</v>
      </c>
    </row>
    <row r="25" spans="1:12" x14ac:dyDescent="0.25">
      <c r="A25" s="2">
        <v>2</v>
      </c>
      <c r="B25" s="2">
        <v>2</v>
      </c>
      <c r="C25" s="2">
        <v>2</v>
      </c>
      <c r="D25" s="2">
        <v>4</v>
      </c>
      <c r="E25" s="2">
        <v>7</v>
      </c>
      <c r="F25" s="2">
        <v>7</v>
      </c>
      <c r="G25" s="2">
        <v>7</v>
      </c>
      <c r="H25" s="2">
        <f t="shared" si="5"/>
        <v>2224777</v>
      </c>
      <c r="I25" s="2">
        <f t="shared" si="1"/>
        <v>-1</v>
      </c>
      <c r="J25" s="2">
        <f t="shared" si="6"/>
        <v>-4.0000000000000036</v>
      </c>
      <c r="K25" s="2">
        <f t="shared" si="3"/>
        <v>-1</v>
      </c>
      <c r="L25" s="12">
        <f t="shared" si="7"/>
        <v>0</v>
      </c>
    </row>
    <row r="26" spans="1:12" x14ac:dyDescent="0.25">
      <c r="A26" s="2">
        <v>7</v>
      </c>
      <c r="B26" s="2">
        <v>7</v>
      </c>
      <c r="C26" s="2">
        <v>7</v>
      </c>
      <c r="D26" s="2">
        <v>6</v>
      </c>
      <c r="E26" s="2">
        <v>5</v>
      </c>
      <c r="F26" s="2">
        <v>4</v>
      </c>
      <c r="G26" s="2">
        <v>3</v>
      </c>
      <c r="H26" s="2">
        <f t="shared" si="5"/>
        <v>7776543</v>
      </c>
      <c r="I26" s="2">
        <f t="shared" si="1"/>
        <v>1</v>
      </c>
      <c r="J26" s="2">
        <f t="shared" si="6"/>
        <v>53.59999999999998</v>
      </c>
      <c r="K26" s="2">
        <f t="shared" si="3"/>
        <v>1</v>
      </c>
      <c r="L26" s="12">
        <f t="shared" si="7"/>
        <v>0</v>
      </c>
    </row>
    <row r="27" spans="1:12" x14ac:dyDescent="0.25">
      <c r="A27" s="2">
        <v>2</v>
      </c>
      <c r="B27" s="2">
        <v>3</v>
      </c>
      <c r="C27" s="2">
        <v>4</v>
      </c>
      <c r="D27" s="2">
        <v>9</v>
      </c>
      <c r="E27" s="2">
        <v>9</v>
      </c>
      <c r="F27" s="2">
        <v>9</v>
      </c>
      <c r="G27" s="2">
        <v>9</v>
      </c>
      <c r="H27" s="2">
        <f t="shared" si="5"/>
        <v>2349999</v>
      </c>
      <c r="I27" s="2">
        <f t="shared" si="1"/>
        <v>-1</v>
      </c>
      <c r="J27" s="2">
        <f t="shared" si="6"/>
        <v>-11.999999999999998</v>
      </c>
      <c r="K27" s="2">
        <f t="shared" si="3"/>
        <v>-1</v>
      </c>
      <c r="L27" s="12">
        <f t="shared" si="7"/>
        <v>0</v>
      </c>
    </row>
    <row r="28" spans="1:12" x14ac:dyDescent="0.25">
      <c r="A28" s="2">
        <v>5</v>
      </c>
      <c r="B28" s="2">
        <v>1</v>
      </c>
      <c r="C28" s="2">
        <v>1</v>
      </c>
      <c r="D28" s="2">
        <v>9</v>
      </c>
      <c r="E28" s="2">
        <v>9</v>
      </c>
      <c r="F28" s="2">
        <v>9</v>
      </c>
      <c r="G28" s="2">
        <v>9</v>
      </c>
      <c r="H28" s="2">
        <f t="shared" si="5"/>
        <v>5119999</v>
      </c>
      <c r="I28" s="2">
        <f t="shared" si="1"/>
        <v>-1</v>
      </c>
      <c r="J28" s="2">
        <f t="shared" si="6"/>
        <v>5.6000000000000076</v>
      </c>
      <c r="K28" s="2">
        <f t="shared" si="3"/>
        <v>-1</v>
      </c>
      <c r="L28" s="12">
        <f t="shared" si="7"/>
        <v>0</v>
      </c>
    </row>
    <row r="29" spans="1:12" x14ac:dyDescent="0.25">
      <c r="A29" s="2">
        <v>8</v>
      </c>
      <c r="B29" s="2">
        <v>8</v>
      </c>
      <c r="C29" s="2">
        <v>8</v>
      </c>
      <c r="D29" s="2">
        <v>9</v>
      </c>
      <c r="E29" s="2">
        <v>8</v>
      </c>
      <c r="F29" s="2">
        <v>7</v>
      </c>
      <c r="G29" s="2">
        <v>6</v>
      </c>
      <c r="H29" s="2">
        <f t="shared" si="5"/>
        <v>8889876</v>
      </c>
      <c r="I29" s="2">
        <f t="shared" si="1"/>
        <v>1</v>
      </c>
      <c r="J29" s="2">
        <f t="shared" si="6"/>
        <v>51.599999999999987</v>
      </c>
      <c r="K29" s="2">
        <f t="shared" si="3"/>
        <v>1</v>
      </c>
      <c r="L29" s="12">
        <f t="shared" si="7"/>
        <v>0</v>
      </c>
    </row>
    <row r="30" spans="1:12" x14ac:dyDescent="0.25">
      <c r="A30" s="2">
        <v>3</v>
      </c>
      <c r="B30" s="2">
        <v>3</v>
      </c>
      <c r="C30" s="2">
        <v>9</v>
      </c>
      <c r="D30" s="2">
        <v>9</v>
      </c>
      <c r="E30" s="2">
        <v>8</v>
      </c>
      <c r="F30" s="2">
        <v>8</v>
      </c>
      <c r="G30" s="2">
        <v>7</v>
      </c>
      <c r="H30" s="2">
        <f t="shared" si="5"/>
        <v>3399887</v>
      </c>
      <c r="I30" s="2">
        <f t="shared" si="1"/>
        <v>-1</v>
      </c>
      <c r="J30" s="2">
        <f t="shared" si="6"/>
        <v>10.199999999999998</v>
      </c>
      <c r="K30" s="2">
        <f t="shared" si="3"/>
        <v>-1</v>
      </c>
      <c r="L30" s="12">
        <f t="shared" si="7"/>
        <v>0</v>
      </c>
    </row>
    <row r="31" spans="1:12" x14ac:dyDescent="0.25">
      <c r="A31" s="2">
        <v>4</v>
      </c>
      <c r="B31" s="2">
        <v>4</v>
      </c>
      <c r="C31" s="2">
        <v>9</v>
      </c>
      <c r="D31" s="2">
        <v>8</v>
      </c>
      <c r="E31" s="2">
        <v>7</v>
      </c>
      <c r="F31" s="2">
        <v>6</v>
      </c>
      <c r="G31" s="2">
        <v>5</v>
      </c>
      <c r="H31" s="2">
        <f t="shared" si="5"/>
        <v>4498765</v>
      </c>
      <c r="I31" s="2">
        <f t="shared" si="1"/>
        <v>-1</v>
      </c>
      <c r="J31" s="2">
        <f t="shared" si="6"/>
        <v>24.399999999999991</v>
      </c>
      <c r="K31" s="2">
        <f t="shared" si="3"/>
        <v>-1</v>
      </c>
      <c r="L31" s="12">
        <f t="shared" si="7"/>
        <v>0</v>
      </c>
    </row>
    <row r="32" spans="1:12" x14ac:dyDescent="0.25">
      <c r="A32" s="2">
        <v>4</v>
      </c>
      <c r="B32" s="2">
        <v>9</v>
      </c>
      <c r="C32" s="2">
        <v>9</v>
      </c>
      <c r="D32" s="2">
        <v>8</v>
      </c>
      <c r="E32" s="2">
        <v>7</v>
      </c>
      <c r="F32" s="2">
        <v>6</v>
      </c>
      <c r="G32" s="2">
        <v>4</v>
      </c>
      <c r="H32" s="2">
        <f t="shared" si="5"/>
        <v>4998764</v>
      </c>
      <c r="I32" s="2">
        <f t="shared" si="1"/>
        <v>-1</v>
      </c>
      <c r="J32" s="2">
        <f t="shared" si="6"/>
        <v>25.599999999999991</v>
      </c>
      <c r="K32" s="2">
        <f t="shared" si="3"/>
        <v>-1</v>
      </c>
      <c r="L32" s="12">
        <f t="shared" si="7"/>
        <v>0</v>
      </c>
    </row>
    <row r="33" spans="1:12" x14ac:dyDescent="0.25">
      <c r="A33" s="2">
        <v>7</v>
      </c>
      <c r="B33" s="2">
        <v>0</v>
      </c>
      <c r="C33" s="2">
        <v>0</v>
      </c>
      <c r="D33" s="2">
        <v>1</v>
      </c>
      <c r="E33" s="2">
        <v>2</v>
      </c>
      <c r="F33" s="2">
        <v>3</v>
      </c>
      <c r="G33" s="2">
        <v>4</v>
      </c>
      <c r="H33" s="2">
        <f t="shared" si="5"/>
        <v>7001234</v>
      </c>
      <c r="I33" s="2">
        <f t="shared" si="1"/>
        <v>1</v>
      </c>
      <c r="J33" s="2">
        <f t="shared" si="6"/>
        <v>48.599999999999994</v>
      </c>
      <c r="K33" s="2">
        <f t="shared" si="3"/>
        <v>1</v>
      </c>
      <c r="L33" s="12">
        <f t="shared" si="7"/>
        <v>0</v>
      </c>
    </row>
    <row r="34" spans="1:12" x14ac:dyDescent="0.25">
      <c r="A34" s="2">
        <v>3</v>
      </c>
      <c r="B34" s="2">
        <v>3</v>
      </c>
      <c r="C34" s="2">
        <v>3</v>
      </c>
      <c r="D34" s="2">
        <v>5</v>
      </c>
      <c r="E34" s="2">
        <v>4</v>
      </c>
      <c r="F34" s="2">
        <v>3</v>
      </c>
      <c r="G34" s="2">
        <v>2</v>
      </c>
      <c r="H34" s="2">
        <f t="shared" si="5"/>
        <v>3335432</v>
      </c>
      <c r="I34" s="2">
        <f t="shared" si="1"/>
        <v>-1</v>
      </c>
      <c r="J34" s="2">
        <f t="shared" si="6"/>
        <v>15.4</v>
      </c>
      <c r="K34" s="2">
        <f t="shared" si="3"/>
        <v>-1</v>
      </c>
      <c r="L34" s="12">
        <f t="shared" si="7"/>
        <v>0</v>
      </c>
    </row>
    <row r="35" spans="1:12" x14ac:dyDescent="0.25">
      <c r="A35" s="2">
        <v>4</v>
      </c>
      <c r="B35" s="2">
        <v>3</v>
      </c>
      <c r="C35" s="2">
        <v>2</v>
      </c>
      <c r="D35" s="2">
        <v>1</v>
      </c>
      <c r="E35" s="2">
        <v>0</v>
      </c>
      <c r="F35" s="2">
        <v>0</v>
      </c>
      <c r="G35" s="2">
        <v>0</v>
      </c>
      <c r="H35" s="2">
        <f t="shared" si="5"/>
        <v>4321000</v>
      </c>
      <c r="I35" s="2">
        <f t="shared" si="1"/>
        <v>-1</v>
      </c>
      <c r="J35" s="2">
        <f t="shared" si="6"/>
        <v>36.4</v>
      </c>
      <c r="K35" s="2">
        <f t="shared" si="3"/>
        <v>1</v>
      </c>
      <c r="L35" s="12">
        <f t="shared" si="7"/>
        <v>-2</v>
      </c>
    </row>
    <row r="36" spans="1:12" x14ac:dyDescent="0.25">
      <c r="A36" s="2">
        <v>5</v>
      </c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f t="shared" si="5"/>
        <v>5123456</v>
      </c>
      <c r="I36" s="2">
        <f t="shared" si="1"/>
        <v>-1</v>
      </c>
      <c r="J36" s="2">
        <f t="shared" si="6"/>
        <v>28.400000000000009</v>
      </c>
      <c r="K36" s="2">
        <f t="shared" si="3"/>
        <v>-1</v>
      </c>
      <c r="L36" s="12">
        <f t="shared" si="7"/>
        <v>0</v>
      </c>
    </row>
    <row r="37" spans="1:12" x14ac:dyDescent="0.25">
      <c r="A37" s="2">
        <v>5</v>
      </c>
      <c r="B37" s="2">
        <v>1</v>
      </c>
      <c r="C37" s="2">
        <v>9</v>
      </c>
      <c r="D37" s="2">
        <v>9</v>
      </c>
      <c r="E37" s="2">
        <v>9</v>
      </c>
      <c r="F37" s="2">
        <v>9</v>
      </c>
      <c r="G37" s="2">
        <v>9</v>
      </c>
      <c r="H37" s="2">
        <f t="shared" si="5"/>
        <v>5199999</v>
      </c>
      <c r="I37" s="2">
        <f t="shared" si="1"/>
        <v>-1</v>
      </c>
      <c r="J37" s="2">
        <f t="shared" si="6"/>
        <v>23.2</v>
      </c>
      <c r="K37" s="2">
        <f t="shared" si="3"/>
        <v>-1</v>
      </c>
      <c r="L37" s="12">
        <f t="shared" si="7"/>
        <v>0</v>
      </c>
    </row>
    <row r="38" spans="1:12" x14ac:dyDescent="0.25">
      <c r="A38" s="2">
        <v>5</v>
      </c>
      <c r="B38" s="2">
        <v>2</v>
      </c>
      <c r="C38" s="2">
        <v>8</v>
      </c>
      <c r="D38" s="2">
        <v>0</v>
      </c>
      <c r="E38" s="2">
        <v>4</v>
      </c>
      <c r="F38" s="2">
        <v>6</v>
      </c>
      <c r="G38" s="2">
        <v>7</v>
      </c>
      <c r="H38" s="2">
        <f t="shared" si="5"/>
        <v>5280467</v>
      </c>
      <c r="I38" s="2">
        <f t="shared" si="1"/>
        <v>-1</v>
      </c>
      <c r="J38" s="2">
        <f t="shared" si="6"/>
        <v>44.400000000000006</v>
      </c>
      <c r="K38" s="2">
        <f t="shared" si="3"/>
        <v>1</v>
      </c>
      <c r="L38" s="12">
        <f t="shared" si="7"/>
        <v>-2</v>
      </c>
    </row>
    <row r="39" spans="1:12" x14ac:dyDescent="0.25">
      <c r="A39" s="2">
        <v>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f t="shared" si="5"/>
        <v>6000000</v>
      </c>
      <c r="I39" s="2">
        <f t="shared" si="1"/>
        <v>1</v>
      </c>
      <c r="J39" s="2">
        <f t="shared" si="6"/>
        <v>49.199999999999996</v>
      </c>
      <c r="K39" s="2">
        <f t="shared" si="3"/>
        <v>1</v>
      </c>
      <c r="L39" s="12">
        <f t="shared" si="7"/>
        <v>0</v>
      </c>
    </row>
    <row r="40" spans="1:12" x14ac:dyDescent="0.25">
      <c r="A40" s="2">
        <v>4</v>
      </c>
      <c r="B40" s="2">
        <v>5</v>
      </c>
      <c r="C40" s="2">
        <v>6</v>
      </c>
      <c r="D40" s="2">
        <v>7</v>
      </c>
      <c r="E40" s="2">
        <v>8</v>
      </c>
      <c r="F40" s="2">
        <v>9</v>
      </c>
      <c r="G40" s="2">
        <v>9</v>
      </c>
      <c r="H40" s="2">
        <f t="shared" si="5"/>
        <v>4567899</v>
      </c>
      <c r="I40" s="2">
        <f t="shared" si="1"/>
        <v>-1</v>
      </c>
      <c r="J40" s="2">
        <f t="shared" si="6"/>
        <v>13.200000000000001</v>
      </c>
      <c r="K40" s="2">
        <f t="shared" si="3"/>
        <v>-1</v>
      </c>
      <c r="L40" s="12">
        <f t="shared" si="7"/>
        <v>0</v>
      </c>
    </row>
    <row r="41" spans="1:12" x14ac:dyDescent="0.25">
      <c r="A41" s="2">
        <v>4</v>
      </c>
      <c r="B41" s="2">
        <v>4</v>
      </c>
      <c r="C41" s="2">
        <v>5</v>
      </c>
      <c r="D41" s="2">
        <v>6</v>
      </c>
      <c r="E41" s="2">
        <v>7</v>
      </c>
      <c r="F41" s="2">
        <v>8</v>
      </c>
      <c r="G41" s="2">
        <v>9</v>
      </c>
      <c r="H41" s="2">
        <f t="shared" si="5"/>
        <v>4456789</v>
      </c>
      <c r="I41" s="2">
        <f t="shared" si="1"/>
        <v>-1</v>
      </c>
      <c r="J41" s="2">
        <f t="shared" si="6"/>
        <v>14.799999999999997</v>
      </c>
      <c r="K41" s="2">
        <f t="shared" si="3"/>
        <v>-1</v>
      </c>
      <c r="L41" s="12">
        <f t="shared" si="7"/>
        <v>0</v>
      </c>
    </row>
    <row r="42" spans="1:12" x14ac:dyDescent="0.25">
      <c r="A42" s="2">
        <v>3</v>
      </c>
      <c r="B42" s="2">
        <v>9</v>
      </c>
      <c r="C42" s="2">
        <v>9</v>
      </c>
      <c r="D42" s="2">
        <v>8</v>
      </c>
      <c r="E42" s="2">
        <v>7</v>
      </c>
      <c r="F42" s="2">
        <v>6</v>
      </c>
      <c r="G42" s="2">
        <v>5</v>
      </c>
      <c r="H42" s="2">
        <f t="shared" si="5"/>
        <v>3998765</v>
      </c>
      <c r="I42" s="2">
        <f t="shared" si="1"/>
        <v>-1</v>
      </c>
      <c r="J42" s="2">
        <f t="shared" si="6"/>
        <v>17.200000000000003</v>
      </c>
      <c r="K42" s="2">
        <f t="shared" si="3"/>
        <v>-1</v>
      </c>
      <c r="L42" s="12">
        <f t="shared" si="7"/>
        <v>0</v>
      </c>
    </row>
    <row r="43" spans="1:12" x14ac:dyDescent="0.25">
      <c r="A43" s="2">
        <v>4</v>
      </c>
      <c r="B43" s="2">
        <v>9</v>
      </c>
      <c r="C43" s="2">
        <v>9</v>
      </c>
      <c r="D43" s="2">
        <v>8</v>
      </c>
      <c r="E43" s="2">
        <v>7</v>
      </c>
      <c r="F43" s="2">
        <v>6</v>
      </c>
      <c r="G43" s="2">
        <v>5</v>
      </c>
      <c r="H43" s="2">
        <f t="shared" si="5"/>
        <v>4998765</v>
      </c>
      <c r="I43" s="2">
        <f t="shared" si="1"/>
        <v>-1</v>
      </c>
      <c r="J43" s="2">
        <f t="shared" si="6"/>
        <v>25.399999999999991</v>
      </c>
      <c r="K43" s="2">
        <f t="shared" si="3"/>
        <v>-1</v>
      </c>
      <c r="L43" s="12">
        <f t="shared" si="7"/>
        <v>0</v>
      </c>
    </row>
    <row r="44" spans="1:12" x14ac:dyDescent="0.25">
      <c r="A44" s="2">
        <v>9</v>
      </c>
      <c r="B44" s="2">
        <v>0</v>
      </c>
      <c r="C44" s="2">
        <v>0</v>
      </c>
      <c r="D44" s="2">
        <v>0</v>
      </c>
      <c r="E44" s="2">
        <v>1</v>
      </c>
      <c r="F44" s="2">
        <v>2</v>
      </c>
      <c r="G44" s="2">
        <v>3</v>
      </c>
      <c r="H44" s="2">
        <f t="shared" si="5"/>
        <v>9000123</v>
      </c>
      <c r="I44" s="2">
        <f t="shared" si="1"/>
        <v>1</v>
      </c>
      <c r="J44" s="2">
        <f t="shared" si="6"/>
        <v>69.2</v>
      </c>
      <c r="K44" s="2">
        <f t="shared" si="3"/>
        <v>1</v>
      </c>
      <c r="L44" s="12">
        <f t="shared" si="7"/>
        <v>0</v>
      </c>
    </row>
    <row r="45" spans="1:12" x14ac:dyDescent="0.25">
      <c r="A45" s="2">
        <v>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2</v>
      </c>
      <c r="H45" s="2">
        <f t="shared" si="5"/>
        <v>8000012</v>
      </c>
      <c r="I45" s="2">
        <f t="shared" si="1"/>
        <v>1</v>
      </c>
      <c r="J45" s="2">
        <f t="shared" si="6"/>
        <v>63.79999999999999</v>
      </c>
      <c r="K45" s="2">
        <f t="shared" si="3"/>
        <v>1</v>
      </c>
      <c r="L45" s="12">
        <f t="shared" si="7"/>
        <v>0</v>
      </c>
    </row>
    <row r="46" spans="1:12" x14ac:dyDescent="0.25">
      <c r="A46" s="2">
        <v>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f t="shared" si="5"/>
        <v>8000000</v>
      </c>
      <c r="I46" s="2">
        <f t="shared" si="1"/>
        <v>1</v>
      </c>
      <c r="J46" s="2">
        <f t="shared" si="6"/>
        <v>65.599999999999994</v>
      </c>
      <c r="K46" s="2">
        <f t="shared" si="3"/>
        <v>1</v>
      </c>
      <c r="L46" s="12">
        <f t="shared" si="7"/>
        <v>0</v>
      </c>
    </row>
    <row r="47" spans="1:12" x14ac:dyDescent="0.25">
      <c r="A47" s="2">
        <v>2</v>
      </c>
      <c r="B47" s="2">
        <v>3</v>
      </c>
      <c r="C47" s="2">
        <v>4</v>
      </c>
      <c r="D47" s="2">
        <v>9</v>
      </c>
      <c r="E47" s="2">
        <v>9</v>
      </c>
      <c r="F47" s="2">
        <v>9</v>
      </c>
      <c r="G47" s="2">
        <v>9</v>
      </c>
      <c r="H47" s="2">
        <f t="shared" si="5"/>
        <v>2349999</v>
      </c>
      <c r="I47" s="2">
        <f t="shared" si="1"/>
        <v>-1</v>
      </c>
      <c r="J47" s="2">
        <f t="shared" si="6"/>
        <v>-11.999999999999998</v>
      </c>
      <c r="K47" s="2">
        <f t="shared" si="3"/>
        <v>-1</v>
      </c>
      <c r="L47" s="12">
        <f t="shared" si="7"/>
        <v>0</v>
      </c>
    </row>
    <row r="48" spans="1:12" x14ac:dyDescent="0.25">
      <c r="A48" s="2">
        <v>1</v>
      </c>
      <c r="B48" s="2">
        <v>2</v>
      </c>
      <c r="C48" s="2">
        <v>3</v>
      </c>
      <c r="D48" s="2">
        <v>9</v>
      </c>
      <c r="E48" s="2">
        <v>9</v>
      </c>
      <c r="F48" s="2">
        <v>9</v>
      </c>
      <c r="G48" s="2">
        <v>9</v>
      </c>
      <c r="H48" s="2">
        <f t="shared" si="5"/>
        <v>1239999</v>
      </c>
      <c r="I48" s="2">
        <f t="shared" si="1"/>
        <v>-1</v>
      </c>
      <c r="J48" s="2">
        <f t="shared" si="6"/>
        <v>-22.599999999999998</v>
      </c>
      <c r="K48" s="2">
        <f t="shared" si="3"/>
        <v>-1</v>
      </c>
      <c r="L48" s="12">
        <f t="shared" si="7"/>
        <v>0</v>
      </c>
    </row>
    <row r="49" spans="1:12" x14ac:dyDescent="0.25">
      <c r="A49" s="2">
        <v>1</v>
      </c>
      <c r="B49" s="2">
        <v>1</v>
      </c>
      <c r="C49" s="2">
        <v>2</v>
      </c>
      <c r="D49" s="2">
        <v>3</v>
      </c>
      <c r="E49" s="2">
        <v>9</v>
      </c>
      <c r="F49" s="2">
        <v>9</v>
      </c>
      <c r="G49" s="2">
        <v>9</v>
      </c>
      <c r="H49" s="2">
        <f t="shared" si="5"/>
        <v>1123999</v>
      </c>
      <c r="I49" s="2">
        <f t="shared" si="1"/>
        <v>-1</v>
      </c>
      <c r="J49" s="2">
        <f t="shared" si="6"/>
        <v>-16.599999999999998</v>
      </c>
      <c r="K49" s="2">
        <f t="shared" si="3"/>
        <v>-1</v>
      </c>
      <c r="L49" s="12">
        <f t="shared" si="7"/>
        <v>0</v>
      </c>
    </row>
    <row r="50" spans="1:12" x14ac:dyDescent="0.25">
      <c r="A50" s="2">
        <v>5</v>
      </c>
      <c r="B50" s="2">
        <v>0</v>
      </c>
      <c r="C50" s="2">
        <v>9</v>
      </c>
      <c r="D50" s="2">
        <v>9</v>
      </c>
      <c r="E50" s="2">
        <v>9</v>
      </c>
      <c r="F50" s="2">
        <v>9</v>
      </c>
      <c r="G50" s="2">
        <v>9</v>
      </c>
      <c r="H50" s="2">
        <f t="shared" si="5"/>
        <v>5099999</v>
      </c>
      <c r="I50" s="2">
        <f t="shared" si="1"/>
        <v>-1</v>
      </c>
      <c r="J50" s="2">
        <f t="shared" si="6"/>
        <v>22.999999999999996</v>
      </c>
      <c r="K50" s="2">
        <f t="shared" si="3"/>
        <v>-1</v>
      </c>
      <c r="L50" s="12">
        <f t="shared" si="7"/>
        <v>0</v>
      </c>
    </row>
  </sheetData>
  <conditionalFormatting sqref="L1:L20 L51:L1048576">
    <cfRule type="cellIs" dxfId="10" priority="4" operator="notEqual">
      <formula>0</formula>
    </cfRule>
  </conditionalFormatting>
  <conditionalFormatting sqref="L21:L50">
    <cfRule type="cellIs" dxfId="9" priority="3" operator="notEqual">
      <formula>0</formula>
    </cfRule>
  </conditionalFormatting>
  <conditionalFormatting sqref="A2:K50">
    <cfRule type="expression" dxfId="0" priority="1">
      <formula>MOD(ROW(),2)=0</formula>
    </cfRule>
    <cfRule type="expression" priority="2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5:M43"/>
  <sheetViews>
    <sheetView workbookViewId="0">
      <selection activeCell="G13" sqref="G13:M13"/>
    </sheetView>
  </sheetViews>
  <sheetFormatPr defaultRowHeight="15" x14ac:dyDescent="0.25"/>
  <cols>
    <col min="13" max="13" width="10.7109375" customWidth="1"/>
  </cols>
  <sheetData>
    <row r="5" spans="7:13" x14ac:dyDescent="0.25">
      <c r="G5" s="16" t="s">
        <v>51</v>
      </c>
      <c r="H5" s="16"/>
      <c r="I5" s="16"/>
      <c r="J5" s="16"/>
      <c r="K5" s="16"/>
      <c r="L5" s="16"/>
      <c r="M5" s="16"/>
    </row>
    <row r="6" spans="7:13" x14ac:dyDescent="0.25">
      <c r="G6" s="18" t="s">
        <v>52</v>
      </c>
      <c r="H6" s="18"/>
      <c r="I6" s="18"/>
      <c r="J6" s="18"/>
      <c r="K6" s="18"/>
      <c r="L6" s="18"/>
      <c r="M6" s="18"/>
    </row>
    <row r="7" spans="7:13" x14ac:dyDescent="0.25">
      <c r="G7" s="17" t="s">
        <v>53</v>
      </c>
      <c r="H7" s="17"/>
      <c r="I7" s="17"/>
      <c r="J7" s="17"/>
      <c r="K7" s="17"/>
      <c r="L7" s="17"/>
      <c r="M7" s="17"/>
    </row>
    <row r="8" spans="7:13" x14ac:dyDescent="0.25">
      <c r="G8" s="17" t="s">
        <v>54</v>
      </c>
      <c r="H8" s="17"/>
      <c r="I8" s="17"/>
      <c r="J8" s="17"/>
      <c r="K8" s="17"/>
      <c r="L8" s="17"/>
      <c r="M8" s="17"/>
    </row>
    <row r="9" spans="7:13" x14ac:dyDescent="0.25">
      <c r="G9" s="17" t="s">
        <v>55</v>
      </c>
      <c r="H9" s="17"/>
      <c r="I9" s="17"/>
      <c r="J9" s="17"/>
      <c r="K9" s="17"/>
      <c r="L9" s="17"/>
      <c r="M9" s="17"/>
    </row>
    <row r="10" spans="7:13" x14ac:dyDescent="0.25">
      <c r="G10" s="17" t="s">
        <v>56</v>
      </c>
      <c r="H10" s="17"/>
      <c r="I10" s="17"/>
      <c r="J10" s="17"/>
      <c r="K10" s="17"/>
      <c r="L10" s="17"/>
      <c r="M10" s="17"/>
    </row>
    <row r="11" spans="7:13" x14ac:dyDescent="0.25">
      <c r="G11" s="9"/>
      <c r="H11" s="9"/>
      <c r="I11" s="9"/>
      <c r="J11" s="9"/>
      <c r="K11" s="9"/>
      <c r="L11" s="9"/>
      <c r="M11" s="9"/>
    </row>
    <row r="12" spans="7:13" x14ac:dyDescent="0.25">
      <c r="G12" s="18" t="s">
        <v>57</v>
      </c>
      <c r="H12" s="18"/>
      <c r="I12" s="18"/>
      <c r="J12" s="18"/>
      <c r="K12" s="18"/>
      <c r="L12" s="18"/>
      <c r="M12" s="18"/>
    </row>
    <row r="13" spans="7:13" x14ac:dyDescent="0.25">
      <c r="G13" s="17" t="s">
        <v>75</v>
      </c>
      <c r="H13" s="17"/>
      <c r="I13" s="17"/>
      <c r="J13" s="17"/>
      <c r="K13" s="17"/>
      <c r="L13" s="17"/>
      <c r="M13" s="17"/>
    </row>
    <row r="14" spans="7:13" x14ac:dyDescent="0.25">
      <c r="G14" s="17" t="s">
        <v>58</v>
      </c>
      <c r="H14" s="17"/>
      <c r="I14" s="17"/>
      <c r="J14" s="17"/>
      <c r="K14" s="17"/>
      <c r="L14" s="17"/>
      <c r="M14" s="17"/>
    </row>
    <row r="15" spans="7:13" x14ac:dyDescent="0.25">
      <c r="G15" s="17" t="s">
        <v>59</v>
      </c>
      <c r="H15" s="17"/>
      <c r="I15" s="17"/>
      <c r="J15" s="17"/>
      <c r="K15" s="17"/>
      <c r="L15" s="17"/>
      <c r="M15" s="17"/>
    </row>
    <row r="16" spans="7:13" x14ac:dyDescent="0.25">
      <c r="G16" s="17" t="s">
        <v>60</v>
      </c>
      <c r="H16" s="17"/>
      <c r="I16" s="17"/>
      <c r="J16" s="17"/>
      <c r="K16" s="17"/>
      <c r="L16" s="17"/>
      <c r="M16" s="17"/>
    </row>
    <row r="17" spans="7:13" x14ac:dyDescent="0.25">
      <c r="G17" s="17" t="s">
        <v>61</v>
      </c>
      <c r="H17" s="17"/>
      <c r="I17" s="17"/>
      <c r="J17" s="17"/>
      <c r="K17" s="17"/>
      <c r="L17" s="17"/>
      <c r="M17" s="17"/>
    </row>
    <row r="18" spans="7:13" x14ac:dyDescent="0.25">
      <c r="G18" s="17"/>
      <c r="H18" s="17"/>
      <c r="I18" s="17"/>
      <c r="J18" s="17"/>
      <c r="K18" s="17"/>
      <c r="L18" s="17"/>
      <c r="M18" s="17"/>
    </row>
    <row r="19" spans="7:13" x14ac:dyDescent="0.25">
      <c r="G19" s="18" t="s">
        <v>62</v>
      </c>
      <c r="H19" s="18"/>
      <c r="I19" s="18"/>
      <c r="J19" s="18"/>
      <c r="K19" s="18"/>
      <c r="L19" s="18"/>
      <c r="M19" s="18"/>
    </row>
    <row r="20" spans="7:13" x14ac:dyDescent="0.25">
      <c r="G20" s="17" t="s">
        <v>63</v>
      </c>
      <c r="H20" s="17"/>
      <c r="I20" s="17"/>
      <c r="J20" s="17"/>
      <c r="K20" s="17"/>
      <c r="L20" s="17"/>
      <c r="M20" s="17"/>
    </row>
    <row r="21" spans="7:13" x14ac:dyDescent="0.25">
      <c r="G21" s="17" t="s">
        <v>64</v>
      </c>
      <c r="H21" s="17"/>
      <c r="I21" s="17"/>
      <c r="J21" s="17"/>
      <c r="K21" s="17"/>
      <c r="L21" s="17"/>
      <c r="M21" s="17"/>
    </row>
    <row r="22" spans="7:13" x14ac:dyDescent="0.25">
      <c r="G22" s="17" t="s">
        <v>65</v>
      </c>
      <c r="H22" s="17"/>
      <c r="I22" s="17"/>
      <c r="J22" s="17"/>
      <c r="K22" s="17"/>
      <c r="L22" s="17"/>
      <c r="M22" s="17"/>
    </row>
    <row r="23" spans="7:13" x14ac:dyDescent="0.25">
      <c r="G23" s="17" t="s">
        <v>66</v>
      </c>
      <c r="H23" s="17"/>
      <c r="I23" s="17"/>
      <c r="J23" s="17"/>
      <c r="K23" s="17"/>
      <c r="L23" s="17"/>
      <c r="M23" s="17"/>
    </row>
    <row r="24" spans="7:13" x14ac:dyDescent="0.25">
      <c r="G24" s="17" t="s">
        <v>67</v>
      </c>
      <c r="H24" s="17"/>
      <c r="I24" s="17"/>
      <c r="J24" s="17"/>
      <c r="K24" s="17"/>
      <c r="L24" s="17"/>
      <c r="M24" s="17"/>
    </row>
    <row r="25" spans="7:13" x14ac:dyDescent="0.25">
      <c r="G25" s="17" t="s">
        <v>68</v>
      </c>
      <c r="H25" s="17"/>
      <c r="I25" s="17"/>
      <c r="J25" s="17"/>
      <c r="K25" s="17"/>
      <c r="L25" s="17"/>
      <c r="M25" s="17"/>
    </row>
    <row r="26" spans="7:13" x14ac:dyDescent="0.25">
      <c r="G26" s="17"/>
      <c r="H26" s="17"/>
      <c r="I26" s="17"/>
      <c r="J26" s="17"/>
      <c r="K26" s="17"/>
      <c r="L26" s="17"/>
      <c r="M26" s="17"/>
    </row>
    <row r="27" spans="7:13" x14ac:dyDescent="0.25">
      <c r="G27" s="18" t="s">
        <v>69</v>
      </c>
      <c r="H27" s="18"/>
      <c r="I27" s="18"/>
      <c r="J27" s="18"/>
      <c r="K27" s="18"/>
      <c r="L27" s="18"/>
      <c r="M27" s="18"/>
    </row>
    <row r="28" spans="7:13" x14ac:dyDescent="0.25">
      <c r="G28" s="17" t="s">
        <v>70</v>
      </c>
      <c r="H28" s="17"/>
      <c r="I28" s="17"/>
      <c r="J28" s="17"/>
      <c r="K28" s="17"/>
      <c r="L28" s="17"/>
      <c r="M28" s="17"/>
    </row>
    <row r="29" spans="7:13" x14ac:dyDescent="0.25">
      <c r="G29" s="17" t="s">
        <v>71</v>
      </c>
      <c r="H29" s="17"/>
      <c r="I29" s="17"/>
      <c r="J29" s="17"/>
      <c r="K29" s="17"/>
      <c r="L29" s="17"/>
      <c r="M29" s="17"/>
    </row>
    <row r="30" spans="7:13" x14ac:dyDescent="0.25">
      <c r="G30" s="17" t="s">
        <v>72</v>
      </c>
      <c r="H30" s="17"/>
      <c r="I30" s="17"/>
      <c r="J30" s="17"/>
      <c r="K30" s="17"/>
      <c r="L30" s="17"/>
      <c r="M30" s="17"/>
    </row>
    <row r="31" spans="7:13" x14ac:dyDescent="0.25">
      <c r="G31" s="17" t="s">
        <v>73</v>
      </c>
      <c r="H31" s="17"/>
      <c r="I31" s="17"/>
      <c r="J31" s="17"/>
      <c r="K31" s="17"/>
      <c r="L31" s="17"/>
      <c r="M31" s="17"/>
    </row>
    <row r="32" spans="7:13" x14ac:dyDescent="0.25">
      <c r="G32" s="17" t="s">
        <v>74</v>
      </c>
      <c r="H32" s="17"/>
      <c r="I32" s="17"/>
      <c r="J32" s="17"/>
      <c r="K32" s="17"/>
      <c r="L32" s="17"/>
      <c r="M32" s="17"/>
    </row>
    <row r="33" spans="7:13" x14ac:dyDescent="0.25">
      <c r="G33" s="9"/>
      <c r="H33" s="9"/>
      <c r="I33" s="9"/>
      <c r="J33" s="9"/>
      <c r="K33" s="9"/>
      <c r="L33" s="9"/>
      <c r="M33" s="9"/>
    </row>
    <row r="34" spans="7:13" x14ac:dyDescent="0.25">
      <c r="G34" s="4"/>
      <c r="H34" s="4"/>
      <c r="I34" s="4"/>
      <c r="J34" s="4"/>
      <c r="K34" s="4"/>
      <c r="L34" s="4"/>
      <c r="M34" s="4"/>
    </row>
    <row r="35" spans="7:13" x14ac:dyDescent="0.25">
      <c r="G35" s="4"/>
      <c r="H35" s="4"/>
      <c r="I35" s="4"/>
      <c r="J35" s="4"/>
      <c r="K35" s="4"/>
      <c r="L35" s="4"/>
      <c r="M35" s="4"/>
    </row>
    <row r="36" spans="7:13" x14ac:dyDescent="0.25">
      <c r="G36" s="4"/>
      <c r="H36" s="4"/>
      <c r="I36" s="4"/>
      <c r="J36" s="4"/>
      <c r="K36" s="4"/>
      <c r="L36" s="4"/>
      <c r="M36" s="4"/>
    </row>
    <row r="37" spans="7:13" x14ac:dyDescent="0.25">
      <c r="G37" s="4"/>
      <c r="H37" s="4"/>
      <c r="I37" s="4"/>
      <c r="J37" s="4"/>
      <c r="K37" s="4"/>
      <c r="L37" s="4"/>
      <c r="M37" s="4"/>
    </row>
    <row r="38" spans="7:13" x14ac:dyDescent="0.25">
      <c r="G38" s="4"/>
      <c r="H38" s="4"/>
      <c r="I38" s="4"/>
      <c r="J38" s="4"/>
      <c r="K38" s="4"/>
      <c r="L38" s="4"/>
      <c r="M38" s="4"/>
    </row>
    <row r="39" spans="7:13" x14ac:dyDescent="0.25">
      <c r="G39" s="4"/>
      <c r="H39" s="4"/>
      <c r="I39" s="4"/>
      <c r="J39" s="4"/>
      <c r="K39" s="4"/>
      <c r="L39" s="4"/>
      <c r="M39" s="4"/>
    </row>
    <row r="40" spans="7:13" x14ac:dyDescent="0.25">
      <c r="G40" s="4"/>
      <c r="H40" s="4"/>
      <c r="I40" s="4"/>
      <c r="J40" s="4"/>
      <c r="K40" s="4"/>
      <c r="L40" s="4"/>
      <c r="M40" s="4"/>
    </row>
    <row r="41" spans="7:13" x14ac:dyDescent="0.25">
      <c r="G41" s="4"/>
      <c r="H41" s="4"/>
      <c r="I41" s="4"/>
      <c r="J41" s="4"/>
      <c r="K41" s="4"/>
      <c r="L41" s="4"/>
      <c r="M41" s="4"/>
    </row>
    <row r="42" spans="7:13" x14ac:dyDescent="0.25">
      <c r="G42" s="4"/>
      <c r="H42" s="4"/>
      <c r="I42" s="4"/>
      <c r="J42" s="4"/>
      <c r="K42" s="4"/>
      <c r="L42" s="4"/>
      <c r="M42" s="4"/>
    </row>
    <row r="43" spans="7:13" x14ac:dyDescent="0.25">
      <c r="G43" s="4"/>
      <c r="H43" s="4"/>
      <c r="I43" s="4"/>
      <c r="J43" s="4"/>
      <c r="K43" s="4"/>
      <c r="L43" s="4"/>
      <c r="M43" s="4"/>
    </row>
  </sheetData>
  <mergeCells count="29">
    <mergeCell ref="G33:M33"/>
    <mergeCell ref="G27:M27"/>
    <mergeCell ref="G28:M28"/>
    <mergeCell ref="G29:M29"/>
    <mergeCell ref="G30:M30"/>
    <mergeCell ref="G31:M31"/>
    <mergeCell ref="G32:M32"/>
    <mergeCell ref="G21:M21"/>
    <mergeCell ref="G22:M22"/>
    <mergeCell ref="G23:M23"/>
    <mergeCell ref="G24:M24"/>
    <mergeCell ref="G25:M25"/>
    <mergeCell ref="G26:M26"/>
    <mergeCell ref="G15:M15"/>
    <mergeCell ref="G16:M16"/>
    <mergeCell ref="G17:M17"/>
    <mergeCell ref="G18:M18"/>
    <mergeCell ref="G19:M19"/>
    <mergeCell ref="G20:M20"/>
    <mergeCell ref="G9:M9"/>
    <mergeCell ref="G10:M10"/>
    <mergeCell ref="G11:M11"/>
    <mergeCell ref="G12:M12"/>
    <mergeCell ref="G13:M13"/>
    <mergeCell ref="G14:M14"/>
    <mergeCell ref="G5:M5"/>
    <mergeCell ref="G6:M6"/>
    <mergeCell ref="G7:M7"/>
    <mergeCell ref="G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Neurônio</vt:lpstr>
      <vt:lpstr>Treinamento</vt:lpstr>
      <vt:lpstr>Treinamento 2</vt:lpstr>
      <vt:lpstr>Validação</vt:lpstr>
      <vt:lpstr>Conclusão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2025-08-29T17:52:12Z</dcterms:modified>
</cp:coreProperties>
</file>